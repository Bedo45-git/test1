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zsegroup-my.sharepoint.com/personal/peter_bednarik_zsdis_sk/Documents/Personal_peter/"/>
    </mc:Choice>
  </mc:AlternateContent>
  <xr:revisionPtr revIDLastSave="254" documentId="13_ncr:1_{AC70DD34-FEBD-4184-AE09-F59D0FC9EF14}" xr6:coauthVersionLast="47" xr6:coauthVersionMax="47" xr10:uidLastSave="{1F94A11A-3CCF-4DB0-BBA1-794ACD70C80A}"/>
  <bookViews>
    <workbookView xWindow="-108" yWindow="-108" windowWidth="23256" windowHeight="13896" tabRatio="880" xr2:uid="{00000000-000D-0000-FFFF-FFFF00000000}"/>
  </bookViews>
  <sheets>
    <sheet name="Príjmy a výdavky" sheetId="2" r:id="rId1"/>
    <sheet name="Pohľadávky a záväzky" sheetId="6" r:id="rId2"/>
    <sheet name="Zásoby a majetok" sheetId="7" r:id="rId3"/>
    <sheet name="Zoznamy" sheetId="4" r:id="rId4"/>
    <sheet name="Prehľad MaZ" sheetId="14" r:id="rId5"/>
    <sheet name="Prehľad PaV" sheetId="13" r:id="rId6"/>
    <sheet name="Výpočet ZDzP" sheetId="15" r:id="rId7"/>
    <sheet name="Rozúčtovanie pre Nájomníka" sheetId="17" r:id="rId8"/>
    <sheet name="List" sheetId="3" state="hidden" r:id="rId9"/>
  </sheets>
  <definedNames>
    <definedName name="_xlnm._FilterDatabase" localSheetId="0" hidden="1">'Príjmy a výdavky'!$B$11:$M$11</definedName>
    <definedName name="Prr">#REF!</definedName>
  </definedNames>
  <calcPr calcId="191029"/>
  <pivotCaches>
    <pivotCache cacheId="1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7" l="1"/>
  <c r="C110" i="2"/>
  <c r="C111" i="2" s="1"/>
  <c r="C112" i="2" s="1"/>
  <c r="C113" i="2" s="1"/>
  <c r="C114" i="2" s="1"/>
  <c r="C115" i="2" s="1"/>
  <c r="C116" i="2" s="1"/>
  <c r="C117" i="2" s="1"/>
  <c r="C118" i="2" s="1"/>
  <c r="C62" i="2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91" i="2"/>
  <c r="C98" i="2"/>
  <c r="C99" i="2" s="1"/>
  <c r="C100" i="2" s="1"/>
  <c r="C104" i="2" s="1"/>
  <c r="C105" i="2" s="1"/>
  <c r="C106" i="2" s="1"/>
  <c r="C107" i="2" s="1"/>
  <c r="C108" i="2" s="1"/>
  <c r="C109" i="2" s="1"/>
  <c r="C30" i="2"/>
  <c r="C31" i="2" s="1"/>
  <c r="C32" i="2" s="1"/>
  <c r="C33" i="2" s="1"/>
  <c r="C34" i="2" s="1"/>
  <c r="C35" i="2" s="1"/>
  <c r="C36" i="2" s="1"/>
  <c r="C37" i="2" s="1"/>
  <c r="C38" i="2" s="1"/>
  <c r="C42" i="2"/>
  <c r="C43" i="2"/>
  <c r="C44" i="2" s="1"/>
  <c r="C45" i="2" s="1"/>
  <c r="C46" i="2" s="1"/>
  <c r="C47" i="2" s="1"/>
  <c r="C48" i="2" s="1"/>
  <c r="C49" i="2" s="1"/>
  <c r="C50" i="2" s="1"/>
  <c r="C58" i="2"/>
  <c r="C59" i="2" s="1"/>
  <c r="C60" i="2" s="1"/>
  <c r="C61" i="2" s="1"/>
  <c r="J63" i="2"/>
  <c r="J62" i="2"/>
  <c r="J61" i="2"/>
  <c r="J60" i="2"/>
  <c r="J59" i="2"/>
  <c r="J58" i="2"/>
  <c r="J54" i="2"/>
  <c r="J52" i="2"/>
  <c r="J49" i="2"/>
  <c r="J50" i="2"/>
  <c r="J48" i="2"/>
  <c r="J37" i="2"/>
  <c r="J38" i="2"/>
  <c r="J39" i="2"/>
  <c r="J40" i="2"/>
  <c r="J42" i="2"/>
  <c r="M75" i="2"/>
  <c r="L75" i="2"/>
  <c r="M66" i="2"/>
  <c r="L66" i="2" l="1"/>
  <c r="L12" i="7"/>
  <c r="L9" i="7" s="1"/>
  <c r="N13" i="6" l="1"/>
  <c r="N14" i="6"/>
  <c r="N15" i="6"/>
  <c r="M53" i="2"/>
  <c r="L53" i="2"/>
  <c r="N11" i="6"/>
  <c r="N12" i="6"/>
  <c r="C16" i="14"/>
  <c r="O9" i="17"/>
  <c r="R8" i="17"/>
  <c r="O8" i="17"/>
  <c r="M7" i="17"/>
  <c r="P7" i="17" s="1"/>
  <c r="Q7" i="17" s="1"/>
  <c r="P6" i="17"/>
  <c r="P9" i="17" s="1"/>
  <c r="Q5" i="17"/>
  <c r="N5" i="17"/>
  <c r="Q4" i="17"/>
  <c r="N4" i="17"/>
  <c r="Q10" i="17" l="1"/>
  <c r="P8" i="17"/>
  <c r="Q6" i="17"/>
  <c r="N7" i="17"/>
  <c r="M41" i="2" l="1"/>
  <c r="F11" i="6"/>
  <c r="J30" i="2" l="1"/>
  <c r="J32" i="2"/>
  <c r="M31" i="2"/>
  <c r="J23" i="2" l="1"/>
  <c r="M22" i="2"/>
  <c r="J17" i="2"/>
  <c r="J16" i="2"/>
  <c r="J21" i="2" l="1"/>
  <c r="M15" i="2"/>
  <c r="J14" i="2"/>
  <c r="F33" i="14" s="1"/>
  <c r="M13" i="2"/>
  <c r="C13" i="2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5" i="15" l="1"/>
  <c r="M121" i="2"/>
  <c r="G7" i="3"/>
  <c r="G6" i="3"/>
  <c r="G4" i="3"/>
  <c r="F28" i="14" l="1"/>
  <c r="G5" i="3"/>
  <c r="F5" i="15" l="1"/>
  <c r="M9" i="6"/>
  <c r="K9" i="6"/>
  <c r="C7" i="15" l="1"/>
  <c r="L10" i="2"/>
  <c r="K10" i="2"/>
  <c r="I10" i="2"/>
  <c r="H10" i="2"/>
  <c r="F7" i="15" l="1"/>
  <c r="D22" i="15" s="1"/>
  <c r="B2" i="3"/>
  <c r="F40" i="14" l="1"/>
  <c r="F34" i="14"/>
  <c r="F32" i="14"/>
  <c r="C32" i="14"/>
  <c r="C28" i="14"/>
  <c r="C27" i="14"/>
  <c r="F26" i="14"/>
  <c r="C26" i="14"/>
  <c r="C21" i="14"/>
  <c r="F20" i="14"/>
  <c r="C20" i="14"/>
  <c r="C14" i="14"/>
  <c r="F35" i="14" l="1"/>
  <c r="F31" i="14" s="1"/>
  <c r="G7" i="2" s="1"/>
  <c r="C23" i="14"/>
  <c r="C19" i="14" s="1"/>
  <c r="C29" i="14"/>
  <c r="C25" i="14" s="1"/>
  <c r="F7" i="14" l="1"/>
  <c r="L6" i="7"/>
  <c r="F8" i="14"/>
  <c r="L5" i="7"/>
  <c r="F16" i="14"/>
  <c r="C11" i="13" l="1"/>
  <c r="C12" i="13"/>
  <c r="C7" i="13"/>
  <c r="F22" i="14"/>
  <c r="M10" i="2"/>
  <c r="C6" i="13"/>
  <c r="J10" i="2" l="1"/>
  <c r="F27" i="14"/>
  <c r="F29" i="14" s="1"/>
  <c r="F25" i="14" s="1"/>
  <c r="G6" i="2" s="1"/>
  <c r="F21" i="14"/>
  <c r="F23" i="14" s="1"/>
  <c r="F19" i="14" s="1"/>
  <c r="E9" i="13"/>
  <c r="F2" i="7"/>
  <c r="I2" i="6"/>
  <c r="I2" i="7"/>
  <c r="H2" i="7"/>
  <c r="H2" i="2"/>
  <c r="G2" i="2"/>
  <c r="G2" i="6"/>
  <c r="L6" i="2" l="1"/>
  <c r="L5" i="2"/>
  <c r="F14" i="14"/>
  <c r="G5" i="2"/>
  <c r="F15" i="14"/>
  <c r="F13" i="14" l="1"/>
  <c r="F10" i="14" s="1"/>
  <c r="J2" i="6" l="1"/>
  <c r="K2" i="7"/>
  <c r="L2" i="6"/>
  <c r="J2" i="2"/>
  <c r="C33" i="14" l="1"/>
  <c r="F42" i="14" l="1"/>
  <c r="F41" i="14"/>
  <c r="C34" i="14"/>
  <c r="N9" i="6"/>
  <c r="F43" i="14" l="1"/>
  <c r="F39" i="14" s="1"/>
  <c r="N7" i="6" s="1"/>
  <c r="C35" i="14"/>
  <c r="C31" i="14" s="1"/>
  <c r="N6" i="6" s="1"/>
  <c r="M5" i="2"/>
  <c r="F9" i="14" l="1"/>
  <c r="C15" i="14" l="1"/>
  <c r="C17" i="14" l="1"/>
  <c r="C13" i="14" s="1"/>
  <c r="F6" i="14" l="1"/>
  <c r="F5" i="14" s="1"/>
  <c r="L7" i="7"/>
</calcChain>
</file>

<file path=xl/sharedStrings.xml><?xml version="1.0" encoding="utf-8"?>
<sst xmlns="http://schemas.openxmlformats.org/spreadsheetml/2006/main" count="657" uniqueCount="243">
  <si>
    <t>PRÍJMY</t>
  </si>
  <si>
    <t>VÝDAVKY</t>
  </si>
  <si>
    <t>* Daňové</t>
  </si>
  <si>
    <t>* Nedaňové</t>
  </si>
  <si>
    <t>VÝSLEDOK   HOSPODÁRENIA</t>
  </si>
  <si>
    <t>MAJETOK</t>
  </si>
  <si>
    <t>* Pohľadávky</t>
  </si>
  <si>
    <t>* Pokladňa</t>
  </si>
  <si>
    <t>* Banka 1</t>
  </si>
  <si>
    <t>* Dlhodobý majetok</t>
  </si>
  <si>
    <t>* Banka 2</t>
  </si>
  <si>
    <t>POHĽADÁVKY</t>
  </si>
  <si>
    <t>POKLADŇA</t>
  </si>
  <si>
    <t>Začiatočný stav pohľadávok</t>
  </si>
  <si>
    <t>Začiatočný stav hotovosti v pokladni</t>
  </si>
  <si>
    <t>Suma pohľadávok za účtovné obdobie</t>
  </si>
  <si>
    <t>Príjmy inkasované v hotovosti</t>
  </si>
  <si>
    <t>Inkasované pohľadávky</t>
  </si>
  <si>
    <t>Výdaje hradené v hotovosti</t>
  </si>
  <si>
    <t>Konečný stav pohľadávok</t>
  </si>
  <si>
    <t>Konečný stav v pokladni</t>
  </si>
  <si>
    <t>ZÁVÄZKY</t>
  </si>
  <si>
    <t>BANKA 1 (B1)</t>
  </si>
  <si>
    <t>Začiatočný stav záväzkov</t>
  </si>
  <si>
    <t>Začiatočný stav peňazí na účte v B1</t>
  </si>
  <si>
    <t>Príjmy inkasované bezhotovostne v B1</t>
  </si>
  <si>
    <t>Výdaje hradené bezhotovostne z B1</t>
  </si>
  <si>
    <t>Konečný stav peňazí na účte v B1</t>
  </si>
  <si>
    <t>DLHODOBÝ MAJETOK</t>
  </si>
  <si>
    <t>BANKA 2 (B2)</t>
  </si>
  <si>
    <t>Začiatočný stav dlhodobého majetku</t>
  </si>
  <si>
    <t>Začiatočný stav peňazí na účte v B2</t>
  </si>
  <si>
    <t xml:space="preserve">Zmena stavu dlhodobého majetku </t>
  </si>
  <si>
    <t>Príjmy inkasované bezhotovostne v B2</t>
  </si>
  <si>
    <t>Odpisy</t>
  </si>
  <si>
    <t>Výdaje hradené bezhotovostne z B2</t>
  </si>
  <si>
    <t>Konečný stav dlhodobého majetku</t>
  </si>
  <si>
    <t>Konečný stav peňazí na účte v B2</t>
  </si>
  <si>
    <t>DAŇOVÁ EVIDENCIA</t>
  </si>
  <si>
    <t>(§ 6 ods. 11 zákona 595/2003 Z.z.)</t>
  </si>
  <si>
    <t>Začiatočný stav - Pokladňa</t>
  </si>
  <si>
    <t>Priebežná položka - príjem</t>
  </si>
  <si>
    <t>Začiatočný stav - Banka 1</t>
  </si>
  <si>
    <t>Priebežná položka - výdaj</t>
  </si>
  <si>
    <t>Začiatočný stav - Banka 2</t>
  </si>
  <si>
    <t>PRÍJEM</t>
  </si>
  <si>
    <t>VÝDAJ</t>
  </si>
  <si>
    <t>Dátum</t>
  </si>
  <si>
    <t>Číslo dokladu</t>
  </si>
  <si>
    <t>Druh dokladu</t>
  </si>
  <si>
    <t>Pokladňa / Banka / ID</t>
  </si>
  <si>
    <t>Popis transakcie</t>
  </si>
  <si>
    <t>Poznámka</t>
  </si>
  <si>
    <t>Príjem</t>
  </si>
  <si>
    <t>Interný doklad</t>
  </si>
  <si>
    <t>Daňová evidencia</t>
  </si>
  <si>
    <t>Pokladňa</t>
  </si>
  <si>
    <t>Výdaj</t>
  </si>
  <si>
    <t>Banka 1</t>
  </si>
  <si>
    <t>Banka 2</t>
  </si>
  <si>
    <t>Druh Príjmov</t>
  </si>
  <si>
    <t>Druh Výdavkov</t>
  </si>
  <si>
    <t>Odberatelia</t>
  </si>
  <si>
    <t>Dodávatelia</t>
  </si>
  <si>
    <t>DAŇOVÁ SUMA</t>
  </si>
  <si>
    <t>NEDAŇOVÁ SUMA</t>
  </si>
  <si>
    <t>SPOLU SUMA</t>
  </si>
  <si>
    <r>
      <t>DAŇOVÁ SUMA</t>
    </r>
    <r>
      <rPr>
        <b/>
        <sz val="10"/>
        <color rgb="FFFF3F3F"/>
        <rFont val="Verdana"/>
        <family val="2"/>
        <charset val="238"/>
      </rPr>
      <t>.</t>
    </r>
  </si>
  <si>
    <r>
      <t>NEDAŇOVÁ SUMA</t>
    </r>
    <r>
      <rPr>
        <b/>
        <sz val="10"/>
        <color rgb="FFFF3F3F"/>
        <rFont val="Verdana"/>
        <family val="2"/>
        <charset val="238"/>
      </rPr>
      <t>.</t>
    </r>
  </si>
  <si>
    <r>
      <t>SPOLU SUMA</t>
    </r>
    <r>
      <rPr>
        <b/>
        <sz val="10"/>
        <color rgb="FFFF3F3F"/>
        <rFont val="Verdana"/>
        <family val="2"/>
        <charset val="238"/>
      </rPr>
      <t>.</t>
    </r>
  </si>
  <si>
    <t>Dátum evidencie</t>
  </si>
  <si>
    <t>Variabilný symbol</t>
  </si>
  <si>
    <t>Dátum splatnosti</t>
  </si>
  <si>
    <t>Odberateľ / Dodávateľ</t>
  </si>
  <si>
    <t>Text</t>
  </si>
  <si>
    <t>Dátum inkasa / úhrady</t>
  </si>
  <si>
    <t>Suma inkasa / úhrady</t>
  </si>
  <si>
    <t>Druh dokladu P/Z</t>
  </si>
  <si>
    <t>Druh dokladu P/V</t>
  </si>
  <si>
    <t>Faktúra prijatá</t>
  </si>
  <si>
    <t>Faktúra odoslaná</t>
  </si>
  <si>
    <t>Iný záväzok</t>
  </si>
  <si>
    <t>Iná pohľadávka</t>
  </si>
  <si>
    <t>Úhrada záv. min. obdobia</t>
  </si>
  <si>
    <t>Inkaso pohľ. min. obdobia</t>
  </si>
  <si>
    <t>Nedoplatok pohľ. / záväzku</t>
  </si>
  <si>
    <t>P</t>
  </si>
  <si>
    <t>Z</t>
  </si>
  <si>
    <t>RTVS</t>
  </si>
  <si>
    <t>SPP</t>
  </si>
  <si>
    <t>FINANČNÝ MAJETOK</t>
  </si>
  <si>
    <t>* Finančný majetok</t>
  </si>
  <si>
    <t>* Zásoby</t>
  </si>
  <si>
    <t>* Krátkodobý majetok</t>
  </si>
  <si>
    <t>KRÁTKODOBÝ MAJETOK</t>
  </si>
  <si>
    <t>ZÁSOBY</t>
  </si>
  <si>
    <t>Začiatočný stav zásob</t>
  </si>
  <si>
    <t>Začiatočný stav krátkodobého majetku</t>
  </si>
  <si>
    <t>Doklad</t>
  </si>
  <si>
    <t>Inventárne číslo</t>
  </si>
  <si>
    <t>Názov</t>
  </si>
  <si>
    <t>Počet</t>
  </si>
  <si>
    <t>Merná jednotka</t>
  </si>
  <si>
    <t>Cena za jednotku</t>
  </si>
  <si>
    <t>SUMA pohľ. / záväzku</t>
  </si>
  <si>
    <t>Zásoba alebo majetok</t>
  </si>
  <si>
    <t>Peňažná suma</t>
  </si>
  <si>
    <t>Zásoba</t>
  </si>
  <si>
    <t>Krátkodobý majetok</t>
  </si>
  <si>
    <t>Dlhodobý majetok</t>
  </si>
  <si>
    <t>Prírastok zásob za účtovné obdobie</t>
  </si>
  <si>
    <t>Úbytok zásob za účtovné obdobie</t>
  </si>
  <si>
    <t>Konečný stav zásob</t>
  </si>
  <si>
    <t xml:space="preserve">Zmena stavu krátkodobého majetku </t>
  </si>
  <si>
    <t>Daňovník</t>
  </si>
  <si>
    <t xml:space="preserve">   Začiatočný stav záväzkov</t>
  </si>
  <si>
    <t xml:space="preserve">   Suma záväzkov za účtovné obdobie</t>
  </si>
  <si>
    <t xml:space="preserve">   Uhradené záväzky</t>
  </si>
  <si>
    <t xml:space="preserve"> Konečný stav záväzkov</t>
  </si>
  <si>
    <t>Závierkový</t>
  </si>
  <si>
    <t>Späť do hárku "POHĽADÁVKY A ZÁVäZKY"</t>
  </si>
  <si>
    <t>Správca bytového domu</t>
  </si>
  <si>
    <t>Západoslovenské elektrárne</t>
  </si>
  <si>
    <t>SWAN</t>
  </si>
  <si>
    <t>Telekom</t>
  </si>
  <si>
    <t>Konečný stav záväzkov</t>
  </si>
  <si>
    <t>Konečný stav - Pokladňa</t>
  </si>
  <si>
    <t>Konečný stav - Banka 1</t>
  </si>
  <si>
    <t>Konečný stav - Banka 2</t>
  </si>
  <si>
    <t>Konečný stav krátkodobého majetku</t>
  </si>
  <si>
    <t>P/Z</t>
  </si>
  <si>
    <t>PN - Priebežná položka - príjem</t>
  </si>
  <si>
    <t>PD - Nájomné</t>
  </si>
  <si>
    <t>PN - Peňažná kaucia</t>
  </si>
  <si>
    <t>PD - Zmluvná pokuta</t>
  </si>
  <si>
    <t>VN - Priebežná položka - výdaj</t>
  </si>
  <si>
    <t>VD - Poplatok do fondu opráv</t>
  </si>
  <si>
    <t>VD - Zálohová platba za elektriku</t>
  </si>
  <si>
    <t>VD - Koncesionárske poplatky</t>
  </si>
  <si>
    <t>VD - Poplatok za káblovú televíziu</t>
  </si>
  <si>
    <t>VD - Poplatok za internet</t>
  </si>
  <si>
    <t>VD - Poistenie nehnuteľnosti</t>
  </si>
  <si>
    <t>VD - Komunálny odpad</t>
  </si>
  <si>
    <t>VDZ - Odpisy</t>
  </si>
  <si>
    <t>Daňové príjmy</t>
  </si>
  <si>
    <t>Nedaňové príjmy</t>
  </si>
  <si>
    <t>Druh príjmov alebo výdavkov</t>
  </si>
  <si>
    <t>Tepovač</t>
  </si>
  <si>
    <t>Pohľadávky a Záväzky</t>
  </si>
  <si>
    <t>Príjmy a Výdavky</t>
  </si>
  <si>
    <t>Zásoby a Majetok</t>
  </si>
  <si>
    <t>Späť do hárku "PRÍJMY A VÝDAVKY"</t>
  </si>
  <si>
    <t>Prehľad Príjmov a Výdavkov</t>
  </si>
  <si>
    <t>Prehľad Majetku a Záväzkov</t>
  </si>
  <si>
    <t>DAŇOVÉ PRÍJMY</t>
  </si>
  <si>
    <t>* Oslobodené príjmy</t>
  </si>
  <si>
    <t>Upravené daňové výdavky</t>
  </si>
  <si>
    <t>Zdaniteľné príjmy z prenájmu</t>
  </si>
  <si>
    <t>DAŇOVÉ VÝDAVKY</t>
  </si>
  <si>
    <t>Základ dane z prenájmu</t>
  </si>
  <si>
    <t>Výpočet Základu dane z prenájmu</t>
  </si>
  <si>
    <t>Zdaniteľné príjmy z prenájmu podľa § 6 ods. 3 sa zapíšu v daňovom priznaní typu B v VI. Oddiele, Tabuľke č. 1, Riadok č. 11 a 13, Stĺpec 1.</t>
  </si>
  <si>
    <t>Upravené daňové výdavky z prenájmu podľa § 6 ods. 3 sa zapíšu v daňovom priznaní typu B v VI. Oddiele, Tabuľke č. 1, Riadok č. 11 a 13, Stĺpec 2.</t>
  </si>
  <si>
    <t>Byt 23, koprivnická 9/G</t>
  </si>
  <si>
    <t>Nájomník 1 - Benčo</t>
  </si>
  <si>
    <t>PZ - Zálohové platby</t>
  </si>
  <si>
    <t>VD - Znalecký posudok</t>
  </si>
  <si>
    <t>UNIQA poisťovňa</t>
  </si>
  <si>
    <t>VD - Zálohová platba za uživanie bytu</t>
  </si>
  <si>
    <t>VD - Zálohová platba za NP</t>
  </si>
  <si>
    <t>Zmluva</t>
  </si>
  <si>
    <t>Komunál</t>
  </si>
  <si>
    <t>Voda</t>
  </si>
  <si>
    <t>Teplo</t>
  </si>
  <si>
    <t>ZSE</t>
  </si>
  <si>
    <t>December</t>
  </si>
  <si>
    <t>Rozúčtovanie/ realita</t>
  </si>
  <si>
    <t>176 - 3 osoby</t>
  </si>
  <si>
    <t>150 - 2 osoby</t>
  </si>
  <si>
    <t>690 eur ostatné byty</t>
  </si>
  <si>
    <t>Hlavné mesto SR</t>
  </si>
  <si>
    <t>VD - Daň z nehnutelnosti</t>
  </si>
  <si>
    <t>VN - Osobná spotreba</t>
  </si>
  <si>
    <t>PN - Úroky</t>
  </si>
  <si>
    <t>Sum of DAŇOVÁ SUMA.</t>
  </si>
  <si>
    <t>Sum of NEDAŇOVÁ SUMA.</t>
  </si>
  <si>
    <t>12 mesiacov</t>
  </si>
  <si>
    <t>Január</t>
  </si>
  <si>
    <t>Február</t>
  </si>
  <si>
    <t>Marec</t>
  </si>
  <si>
    <t>Vyúčtovanie nákladov k bytu</t>
  </si>
  <si>
    <t>Predpis mes. zalohy za byt</t>
  </si>
  <si>
    <t>VD - Vyúčtovanie zálohových platieb</t>
  </si>
  <si>
    <t>April</t>
  </si>
  <si>
    <t>PZ - Vyúčtovanie</t>
  </si>
  <si>
    <t>28</t>
  </si>
  <si>
    <t>29</t>
  </si>
  <si>
    <t>2024</t>
  </si>
  <si>
    <t>Odpočet</t>
  </si>
  <si>
    <t xml:space="preserve"> </t>
  </si>
  <si>
    <t>Rozdiel</t>
  </si>
  <si>
    <t>PREDPÍSANÁ
ZÁLOHA (€)</t>
  </si>
  <si>
    <t>SKUTOČNÝ
NÁKLAD (€)</t>
  </si>
  <si>
    <t>PREPLATOK /
NEDOPLATOK</t>
  </si>
  <si>
    <t>PREDPÍSANÁ
ZÁLOHA - nová(€)</t>
  </si>
  <si>
    <t>Poč. Stav (20.04.2024)</t>
  </si>
  <si>
    <t>Stav k 31.12.2024</t>
  </si>
  <si>
    <t>Studená voda</t>
  </si>
  <si>
    <t>OLO - smeti</t>
  </si>
  <si>
    <t>3 osoby</t>
  </si>
  <si>
    <t>-</t>
  </si>
  <si>
    <t>ELEKTRINA - ZSE</t>
  </si>
  <si>
    <t>Spolu za mesiac</t>
  </si>
  <si>
    <t>Spolu za rok 2024</t>
  </si>
  <si>
    <t>Nedoplatok</t>
  </si>
  <si>
    <t>Nájomné podľa zmluvy</t>
  </si>
  <si>
    <t>Zálohy od 1.4.</t>
  </si>
  <si>
    <t>Spolu</t>
  </si>
  <si>
    <t>VD - Nákup - zhodnotenie nehnuteľnosti</t>
  </si>
  <si>
    <t>Technické zhodnotenie</t>
  </si>
  <si>
    <t>1</t>
  </si>
  <si>
    <t>eur</t>
  </si>
  <si>
    <t>(blank)</t>
  </si>
  <si>
    <t>Grand Total</t>
  </si>
  <si>
    <t>Daň z nehnutelnosti splatka 2</t>
  </si>
  <si>
    <t>Daň z nehnutelnosti splatka 3</t>
  </si>
  <si>
    <t>Daň z nehnutelnosti splatka 1</t>
  </si>
  <si>
    <t>3. splatka</t>
  </si>
  <si>
    <t>2. splatka</t>
  </si>
  <si>
    <t>1. splatka</t>
  </si>
  <si>
    <t>Jún</t>
  </si>
  <si>
    <t>Máj</t>
  </si>
  <si>
    <t>Apríl</t>
  </si>
  <si>
    <t>1. splátka</t>
  </si>
  <si>
    <t>Elektrina</t>
  </si>
  <si>
    <t>Jul</t>
  </si>
  <si>
    <t>Aug</t>
  </si>
  <si>
    <t>2. splátka</t>
  </si>
  <si>
    <t>Sep</t>
  </si>
  <si>
    <t>Jun</t>
  </si>
  <si>
    <t>Okt</t>
  </si>
  <si>
    <t>Nov</t>
  </si>
  <si>
    <t>3. splátka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</si>
</sst>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#,##0.00\ &quot;€&quot;"/>
    <numFmt numFmtId="165" formatCode="dd/mm/yy;@"/>
    <numFmt numFmtId="166" formatCode="[$€-2]\ #,##0.00"/>
    <numFmt numFmtId="167" formatCode="[$€-2]\ #,##0"/>
  </numFmts>
  <fonts count="6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u/>
      <sz val="10"/>
      <color theme="10"/>
      <name val="Arial CE"/>
      <family val="2"/>
      <charset val="238"/>
    </font>
    <font>
      <sz val="11"/>
      <color theme="1"/>
      <name val="Verdana"/>
      <family val="2"/>
      <charset val="238"/>
    </font>
    <font>
      <b/>
      <sz val="20"/>
      <color theme="0"/>
      <name val="Verdana"/>
      <family val="2"/>
      <charset val="238"/>
    </font>
    <font>
      <b/>
      <sz val="15"/>
      <color theme="0"/>
      <name val="Verdana"/>
      <family val="2"/>
      <charset val="238"/>
    </font>
    <font>
      <b/>
      <sz val="20"/>
      <color theme="1"/>
      <name val="Verdana"/>
      <family val="2"/>
      <charset val="238"/>
    </font>
    <font>
      <b/>
      <sz val="20"/>
      <color theme="2"/>
      <name val="Verdana"/>
      <family val="2"/>
      <charset val="238"/>
    </font>
    <font>
      <sz val="11"/>
      <color theme="0"/>
      <name val="Verdana"/>
      <family val="2"/>
      <charset val="238"/>
    </font>
    <font>
      <b/>
      <sz val="15"/>
      <color theme="2"/>
      <name val="Verdana"/>
      <family val="2"/>
      <charset val="238"/>
    </font>
    <font>
      <b/>
      <sz val="12"/>
      <name val="Verdana"/>
      <family val="2"/>
      <charset val="238"/>
    </font>
    <font>
      <b/>
      <sz val="10"/>
      <color theme="0"/>
      <name val="Verdana"/>
      <family val="2"/>
      <charset val="238"/>
    </font>
    <font>
      <sz val="10"/>
      <color theme="1"/>
      <name val="Verdana"/>
      <family val="2"/>
      <charset val="238"/>
    </font>
    <font>
      <b/>
      <sz val="8"/>
      <color theme="2"/>
      <name val="Verdana"/>
      <family val="2"/>
      <charset val="238"/>
    </font>
    <font>
      <sz val="8"/>
      <color theme="1"/>
      <name val="Verdana"/>
      <family val="2"/>
      <charset val="238"/>
    </font>
    <font>
      <b/>
      <sz val="10"/>
      <name val="Verdana"/>
      <family val="2"/>
      <charset val="238"/>
    </font>
    <font>
      <b/>
      <sz val="10"/>
      <color theme="1"/>
      <name val="Verdana"/>
      <family val="2"/>
      <charset val="238"/>
    </font>
    <font>
      <b/>
      <sz val="22"/>
      <name val="Verdana"/>
      <family val="2"/>
      <charset val="238"/>
    </font>
    <font>
      <b/>
      <sz val="16"/>
      <name val="Verdana"/>
      <family val="2"/>
      <charset val="238"/>
    </font>
    <font>
      <b/>
      <sz val="16"/>
      <color theme="1"/>
      <name val="Verdana"/>
      <family val="2"/>
      <charset val="238"/>
    </font>
    <font>
      <b/>
      <sz val="36"/>
      <color theme="1"/>
      <name val="Verdana"/>
      <family val="2"/>
      <charset val="238"/>
    </font>
    <font>
      <b/>
      <sz val="14"/>
      <name val="Verdana"/>
      <family val="2"/>
      <charset val="238"/>
    </font>
    <font>
      <b/>
      <sz val="18"/>
      <color theme="1"/>
      <name val="Verdana"/>
      <family val="2"/>
      <charset val="238"/>
    </font>
    <font>
      <b/>
      <sz val="18"/>
      <name val="Verdana"/>
      <family val="2"/>
      <charset val="238"/>
    </font>
    <font>
      <sz val="10"/>
      <color theme="0"/>
      <name val="Verdana"/>
      <family val="2"/>
      <charset val="238"/>
    </font>
    <font>
      <b/>
      <sz val="10"/>
      <color rgb="FFFF3F3F"/>
      <name val="Verdana"/>
      <family val="2"/>
      <charset val="238"/>
    </font>
    <font>
      <b/>
      <sz val="25"/>
      <color theme="0"/>
      <name val="Verdana"/>
      <family val="2"/>
      <charset val="238"/>
    </font>
    <font>
      <b/>
      <sz val="9"/>
      <color theme="0"/>
      <name val="Verdana"/>
      <family val="2"/>
      <charset val="238"/>
    </font>
    <font>
      <b/>
      <sz val="30"/>
      <name val="Verdana"/>
      <family val="2"/>
      <charset val="238"/>
    </font>
    <font>
      <sz val="30"/>
      <color theme="1"/>
      <name val="Calibri"/>
      <family val="2"/>
      <charset val="238"/>
      <scheme val="minor"/>
    </font>
    <font>
      <b/>
      <sz val="30"/>
      <color theme="1"/>
      <name val="Verdana"/>
      <family val="2"/>
      <charset val="238"/>
    </font>
    <font>
      <b/>
      <sz val="11"/>
      <color theme="0"/>
      <name val="Verdana"/>
      <family val="2"/>
      <charset val="238"/>
    </font>
    <font>
      <b/>
      <sz val="23"/>
      <color theme="0"/>
      <name val="Verdana"/>
      <family val="2"/>
      <charset val="238"/>
    </font>
    <font>
      <b/>
      <sz val="15"/>
      <name val="Verdana"/>
      <family val="2"/>
      <charset val="238"/>
    </font>
    <font>
      <sz val="20"/>
      <color theme="1"/>
      <name val="Verdana"/>
      <family val="2"/>
      <charset val="238"/>
    </font>
    <font>
      <sz val="9"/>
      <color rgb="FFFF0000"/>
      <name val="Verdana"/>
      <family val="2"/>
      <charset val="238"/>
    </font>
    <font>
      <sz val="9"/>
      <color theme="1"/>
      <name val="Verdana"/>
      <family val="2"/>
      <charset val="238"/>
    </font>
    <font>
      <b/>
      <sz val="9"/>
      <color theme="1"/>
      <name val="Verdana"/>
      <family val="2"/>
      <charset val="238"/>
    </font>
    <font>
      <sz val="12"/>
      <color theme="1"/>
      <name val="Verdana"/>
      <family val="2"/>
      <charset val="238"/>
    </font>
    <font>
      <sz val="12"/>
      <color theme="0"/>
      <name val="Verdana"/>
      <family val="2"/>
      <charset val="238"/>
    </font>
    <font>
      <b/>
      <sz val="16"/>
      <color theme="0"/>
      <name val="Verdana"/>
      <family val="2"/>
      <charset val="238"/>
    </font>
    <font>
      <b/>
      <sz val="11"/>
      <name val="Verdana"/>
      <family val="2"/>
      <charset val="238"/>
    </font>
    <font>
      <sz val="9"/>
      <color theme="1"/>
      <name val="Verdana"/>
      <family val="2"/>
      <charset val="238"/>
    </font>
    <font>
      <b/>
      <sz val="22"/>
      <color theme="0"/>
      <name val="Verdana"/>
      <family val="2"/>
      <charset val="238"/>
    </font>
    <font>
      <b/>
      <sz val="16"/>
      <color rgb="FFFFFF00"/>
      <name val="Verdana"/>
      <family val="2"/>
      <charset val="238"/>
    </font>
    <font>
      <b/>
      <sz val="26"/>
      <color theme="1"/>
      <name val="Verdana"/>
      <family val="2"/>
      <charset val="238"/>
    </font>
    <font>
      <b/>
      <sz val="15"/>
      <color theme="1"/>
      <name val="Verdana"/>
      <family val="2"/>
      <charset val="238"/>
    </font>
    <font>
      <b/>
      <i/>
      <sz val="8"/>
      <name val="Verdana"/>
      <family val="2"/>
      <charset val="238"/>
    </font>
    <font>
      <b/>
      <sz val="14"/>
      <color theme="0"/>
      <name val="Verdana"/>
      <family val="2"/>
      <charset val="238"/>
    </font>
    <font>
      <b/>
      <i/>
      <sz val="8"/>
      <color theme="0"/>
      <name val="Verdana"/>
      <family val="2"/>
      <charset val="238"/>
    </font>
    <font>
      <b/>
      <i/>
      <sz val="8"/>
      <color theme="2"/>
      <name val="Verdana"/>
      <family val="2"/>
      <charset val="238"/>
    </font>
    <font>
      <b/>
      <sz val="14"/>
      <color theme="1"/>
      <name val="Verdana"/>
      <family val="2"/>
      <charset val="238"/>
    </font>
    <font>
      <b/>
      <sz val="18"/>
      <color theme="0"/>
      <name val="Verdana"/>
      <family val="2"/>
      <charset val="238"/>
    </font>
    <font>
      <sz val="9"/>
      <name val="Verdana"/>
      <family val="2"/>
      <charset val="238"/>
    </font>
    <font>
      <sz val="10"/>
      <color theme="1"/>
      <name val="Verdana"/>
      <family val="2"/>
      <charset val="238"/>
    </font>
    <font>
      <sz val="9"/>
      <color theme="1"/>
      <name val="Verdana"/>
      <family val="2"/>
      <charset val="238"/>
    </font>
    <font>
      <sz val="8"/>
      <name val="Calibri"/>
      <family val="2"/>
      <charset val="238"/>
      <scheme val="minor"/>
    </font>
    <font>
      <sz val="9"/>
      <color theme="1"/>
      <name val="Verdana"/>
      <family val="2"/>
      <charset val="238"/>
    </font>
    <font>
      <sz val="10"/>
      <color theme="1"/>
      <name val="Verdana"/>
      <family val="2"/>
      <charset val="238"/>
    </font>
    <font>
      <sz val="10"/>
      <color theme="1"/>
      <name val="Verdana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Verdana"/>
    </font>
    <font>
      <sz val="11"/>
      <color theme="1"/>
      <name val="Verdana"/>
    </font>
    <font>
      <sz val="12"/>
      <color theme="1"/>
      <name val="Verdana"/>
    </font>
    <font>
      <sz val="16"/>
      <color theme="1"/>
      <name val="Verdana"/>
    </font>
  </fonts>
  <fills count="35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rgb="FF00B050"/>
        </stop>
      </gradientFill>
    </fill>
    <fill>
      <gradientFill degree="90">
        <stop position="0">
          <color theme="0"/>
        </stop>
        <stop position="1">
          <color rgb="FFFF0000"/>
        </stop>
      </gradient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gradientFill degree="90">
        <stop position="0">
          <color theme="0"/>
        </stop>
        <stop position="1">
          <color rgb="FFFFFF00"/>
        </stop>
      </gradientFill>
    </fill>
    <fill>
      <patternFill patternType="solid">
        <fgColor rgb="FFFFFF00"/>
        <bgColor indexed="64"/>
      </patternFill>
    </fill>
    <fill>
      <gradientFill degree="90">
        <stop position="0">
          <color theme="0"/>
        </stop>
        <stop position="1">
          <color rgb="FF00B0F0"/>
        </stop>
      </gradientFill>
    </fill>
    <fill>
      <gradientFill degree="90">
        <stop position="0">
          <color theme="0"/>
        </stop>
        <stop position="1">
          <color rgb="FF002060"/>
        </stop>
      </gradient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gradientFill degree="90">
        <stop position="0">
          <color theme="0"/>
        </stop>
        <stop position="1">
          <color theme="6" tint="-0.49803155613879818"/>
        </stop>
      </gradient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gradientFill degree="90">
        <stop position="0">
          <color theme="0"/>
        </stop>
        <stop position="1">
          <color theme="7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gradientFill degree="45">
        <stop position="0">
          <color theme="0"/>
        </stop>
        <stop position="1">
          <color rgb="FFFF0000"/>
        </stop>
      </gradient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0066"/>
        <bgColor indexed="64"/>
      </patternFill>
    </fill>
    <fill>
      <patternFill patternType="solid">
        <fgColor theme="8" tint="-0.499984740745262"/>
        <bgColor indexed="64"/>
      </patternFill>
    </fill>
    <fill>
      <gradientFill degree="90">
        <stop position="0">
          <color theme="0"/>
        </stop>
        <stop position="1">
          <color theme="1"/>
        </stop>
      </gradientFill>
    </fill>
    <fill>
      <patternFill patternType="solid">
        <fgColor theme="4" tint="0.79998168889431442"/>
        <bgColor indexed="64"/>
      </patternFill>
    </fill>
    <fill>
      <gradientFill degree="90">
        <stop position="0">
          <color theme="0"/>
        </stop>
        <stop position="1">
          <color rgb="FF00CC66"/>
        </stop>
      </gradientFill>
    </fill>
    <fill>
      <gradientFill degree="45">
        <stop position="0">
          <color theme="0"/>
        </stop>
        <stop position="1">
          <color rgb="FF00CC66"/>
        </stop>
      </gradientFill>
    </fill>
    <fill>
      <patternFill patternType="solid">
        <fgColor rgb="FFFF8B8B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62" fillId="0" borderId="0"/>
  </cellStyleXfs>
  <cellXfs count="341">
    <xf numFmtId="0" fontId="0" fillId="0" borderId="0" xfId="0"/>
    <xf numFmtId="0" fontId="2" fillId="0" borderId="0" xfId="0" applyFont="1"/>
    <xf numFmtId="14" fontId="0" fillId="0" borderId="0" xfId="0" applyNumberFormat="1"/>
    <xf numFmtId="4" fontId="24" fillId="18" borderId="0" xfId="0" applyNumberFormat="1" applyFont="1" applyFill="1" applyAlignment="1">
      <alignment vertical="center"/>
    </xf>
    <xf numFmtId="4" fontId="24" fillId="14" borderId="0" xfId="0" applyNumberFormat="1" applyFont="1" applyFill="1" applyAlignment="1">
      <alignment vertical="center"/>
    </xf>
    <xf numFmtId="164" fontId="24" fillId="14" borderId="0" xfId="0" applyNumberFormat="1" applyFont="1" applyFill="1" applyAlignment="1">
      <alignment horizontal="right" vertical="center"/>
    </xf>
    <xf numFmtId="4" fontId="11" fillId="15" borderId="0" xfId="0" applyNumberFormat="1" applyFont="1" applyFill="1" applyAlignment="1">
      <alignment horizontal="left" vertical="center"/>
    </xf>
    <xf numFmtId="164" fontId="11" fillId="15" borderId="0" xfId="0" applyNumberFormat="1" applyFont="1" applyFill="1" applyAlignment="1">
      <alignment horizontal="right" vertical="center"/>
    </xf>
    <xf numFmtId="4" fontId="11" fillId="16" borderId="0" xfId="0" applyNumberFormat="1" applyFont="1" applyFill="1" applyAlignment="1">
      <alignment horizontal="left" vertical="center"/>
    </xf>
    <xf numFmtId="164" fontId="11" fillId="16" borderId="0" xfId="0" applyNumberFormat="1" applyFont="1" applyFill="1" applyAlignment="1">
      <alignment horizontal="right" vertical="center"/>
    </xf>
    <xf numFmtId="4" fontId="11" fillId="17" borderId="0" xfId="0" applyNumberFormat="1" applyFont="1" applyFill="1" applyAlignment="1">
      <alignment horizontal="left" vertical="center"/>
    </xf>
    <xf numFmtId="164" fontId="11" fillId="17" borderId="0" xfId="0" applyNumberFormat="1" applyFont="1" applyFill="1" applyAlignment="1">
      <alignment horizontal="right" vertical="center"/>
    </xf>
    <xf numFmtId="4" fontId="11" fillId="19" borderId="0" xfId="0" applyNumberFormat="1" applyFont="1" applyFill="1" applyAlignment="1">
      <alignment horizontal="left" vertical="center"/>
    </xf>
    <xf numFmtId="4" fontId="11" fillId="20" borderId="0" xfId="0" applyNumberFormat="1" applyFont="1" applyFill="1" applyAlignment="1">
      <alignment horizontal="left" vertical="center"/>
    </xf>
    <xf numFmtId="164" fontId="11" fillId="19" borderId="0" xfId="0" applyNumberFormat="1" applyFont="1" applyFill="1" applyAlignment="1">
      <alignment horizontal="right" vertical="center"/>
    </xf>
    <xf numFmtId="164" fontId="11" fillId="20" borderId="0" xfId="0" applyNumberFormat="1" applyFont="1" applyFill="1" applyAlignment="1">
      <alignment horizontal="right" vertical="center"/>
    </xf>
    <xf numFmtId="4" fontId="11" fillId="0" borderId="0" xfId="0" applyNumberFormat="1" applyFont="1" applyAlignment="1">
      <alignment horizontal="left" vertical="center"/>
    </xf>
    <xf numFmtId="164" fontId="11" fillId="0" borderId="0" xfId="0" applyNumberFormat="1" applyFont="1" applyAlignment="1">
      <alignment horizontal="right" vertical="center"/>
    </xf>
    <xf numFmtId="0" fontId="8" fillId="21" borderId="0" xfId="0" applyFont="1" applyFill="1" applyAlignment="1" applyProtection="1">
      <alignment vertical="center"/>
      <protection locked="0"/>
    </xf>
    <xf numFmtId="164" fontId="10" fillId="21" borderId="0" xfId="0" applyNumberFormat="1" applyFont="1" applyFill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0" fontId="9" fillId="21" borderId="0" xfId="0" applyFont="1" applyFill="1" applyAlignment="1" applyProtection="1">
      <alignment horizontal="center"/>
      <protection locked="0"/>
    </xf>
    <xf numFmtId="14" fontId="9" fillId="21" borderId="0" xfId="0" applyNumberFormat="1" applyFont="1" applyFill="1" applyAlignment="1" applyProtection="1">
      <alignment horizontal="center"/>
      <protection locked="0"/>
    </xf>
    <xf numFmtId="0" fontId="9" fillId="21" borderId="0" xfId="0" applyFont="1" applyFill="1" applyAlignment="1" applyProtection="1">
      <alignment horizontal="left"/>
      <protection locked="0"/>
    </xf>
    <xf numFmtId="164" fontId="10" fillId="21" borderId="0" xfId="0" applyNumberFormat="1" applyFont="1" applyFill="1" applyAlignment="1" applyProtection="1">
      <alignment vertical="center" wrapText="1"/>
      <protection locked="0"/>
    </xf>
    <xf numFmtId="14" fontId="28" fillId="21" borderId="6" xfId="0" applyNumberFormat="1" applyFont="1" applyFill="1" applyBorder="1" applyAlignment="1" applyProtection="1">
      <alignment horizontal="center" vertical="center"/>
      <protection locked="0"/>
    </xf>
    <xf numFmtId="0" fontId="28" fillId="21" borderId="7" xfId="0" applyFont="1" applyFill="1" applyBorder="1" applyAlignment="1" applyProtection="1">
      <alignment horizontal="left" vertical="center"/>
      <protection locked="0"/>
    </xf>
    <xf numFmtId="164" fontId="28" fillId="22" borderId="6" xfId="0" applyNumberFormat="1" applyFont="1" applyFill="1" applyBorder="1" applyAlignment="1" applyProtection="1">
      <alignment horizontal="right" vertical="center"/>
      <protection locked="0"/>
    </xf>
    <xf numFmtId="164" fontId="14" fillId="21" borderId="0" xfId="0" applyNumberFormat="1" applyFont="1" applyFill="1" applyAlignment="1" applyProtection="1">
      <alignment horizontal="center" vertical="center" wrapText="1"/>
      <protection locked="0"/>
    </xf>
    <xf numFmtId="14" fontId="14" fillId="21" borderId="0" xfId="0" applyNumberFormat="1" applyFont="1" applyFill="1" applyAlignment="1" applyProtection="1">
      <alignment vertical="center" wrapText="1"/>
      <protection locked="0"/>
    </xf>
    <xf numFmtId="164" fontId="14" fillId="21" borderId="0" xfId="0" applyNumberFormat="1" applyFont="1" applyFill="1" applyAlignment="1" applyProtection="1">
      <alignment vertical="center" wrapText="1"/>
      <protection locked="0"/>
    </xf>
    <xf numFmtId="0" fontId="15" fillId="0" borderId="0" xfId="0" applyFont="1" applyProtection="1">
      <protection locked="0"/>
    </xf>
    <xf numFmtId="49" fontId="28" fillId="21" borderId="8" xfId="0" applyNumberFormat="1" applyFont="1" applyFill="1" applyBorder="1" applyAlignment="1" applyProtection="1">
      <alignment horizontal="left" vertical="center"/>
      <protection locked="0"/>
    </xf>
    <xf numFmtId="0" fontId="14" fillId="21" borderId="0" xfId="0" applyFont="1" applyFill="1" applyAlignment="1" applyProtection="1">
      <alignment vertical="center"/>
      <protection locked="0"/>
    </xf>
    <xf numFmtId="164" fontId="14" fillId="21" borderId="0" xfId="0" applyNumberFormat="1" applyFont="1" applyFill="1" applyAlignment="1" applyProtection="1">
      <alignment vertical="center"/>
      <protection locked="0"/>
    </xf>
    <xf numFmtId="0" fontId="4" fillId="21" borderId="0" xfId="0" applyFont="1" applyFill="1" applyProtection="1">
      <protection locked="0"/>
    </xf>
    <xf numFmtId="14" fontId="4" fillId="21" borderId="0" xfId="0" applyNumberFormat="1" applyFont="1" applyFill="1" applyProtection="1">
      <protection locked="0"/>
    </xf>
    <xf numFmtId="0" fontId="4" fillId="21" borderId="0" xfId="0" applyFont="1" applyFill="1" applyAlignment="1" applyProtection="1">
      <alignment horizontal="left"/>
      <protection locked="0"/>
    </xf>
    <xf numFmtId="0" fontId="4" fillId="21" borderId="0" xfId="0" applyFont="1" applyFill="1" applyAlignment="1" applyProtection="1">
      <alignment horizontal="right"/>
      <protection locked="0"/>
    </xf>
    <xf numFmtId="0" fontId="17" fillId="0" borderId="0" xfId="0" applyFont="1" applyProtection="1">
      <protection locked="0"/>
    </xf>
    <xf numFmtId="0" fontId="13" fillId="0" borderId="0" xfId="0" applyFont="1" applyProtection="1">
      <protection locked="0"/>
    </xf>
    <xf numFmtId="14" fontId="13" fillId="0" borderId="0" xfId="0" applyNumberFormat="1" applyFont="1" applyAlignment="1" applyProtection="1">
      <alignment horizontal="right" vertical="center"/>
      <protection locked="0"/>
    </xf>
    <xf numFmtId="164" fontId="13" fillId="0" borderId="0" xfId="0" applyNumberFormat="1" applyFont="1" applyProtection="1">
      <protection locked="0"/>
    </xf>
    <xf numFmtId="14" fontId="13" fillId="0" borderId="0" xfId="0" applyNumberFormat="1" applyFont="1" applyProtection="1">
      <protection locked="0"/>
    </xf>
    <xf numFmtId="0" fontId="13" fillId="0" borderId="0" xfId="0" applyFont="1" applyAlignment="1" applyProtection="1">
      <alignment horizontal="left"/>
      <protection locked="0"/>
    </xf>
    <xf numFmtId="0" fontId="13" fillId="0" borderId="0" xfId="0" applyFont="1" applyAlignment="1" applyProtection="1">
      <alignment horizontal="right"/>
      <protection locked="0"/>
    </xf>
    <xf numFmtId="164" fontId="13" fillId="0" borderId="0" xfId="0" applyNumberFormat="1" applyFont="1" applyAlignment="1" applyProtection="1">
      <alignment horizontal="center"/>
      <protection locked="0"/>
    </xf>
    <xf numFmtId="14" fontId="28" fillId="21" borderId="8" xfId="0" applyNumberFormat="1" applyFont="1" applyFill="1" applyBorder="1" applyAlignment="1" applyProtection="1">
      <alignment horizontal="left" vertical="center"/>
      <protection locked="0"/>
    </xf>
    <xf numFmtId="0" fontId="12" fillId="25" borderId="0" xfId="0" applyFont="1" applyFill="1" applyAlignment="1" applyProtection="1">
      <alignment horizontal="center" vertical="center" wrapText="1"/>
      <protection locked="0"/>
    </xf>
    <xf numFmtId="0" fontId="10" fillId="21" borderId="0" xfId="0" applyFont="1" applyFill="1" applyAlignment="1" applyProtection="1">
      <alignment horizontal="center" vertical="center" wrapText="1"/>
      <protection locked="0"/>
    </xf>
    <xf numFmtId="164" fontId="28" fillId="21" borderId="6" xfId="0" applyNumberFormat="1" applyFont="1" applyFill="1" applyBorder="1" applyAlignment="1" applyProtection="1">
      <alignment horizontal="left" vertical="center"/>
      <protection locked="0"/>
    </xf>
    <xf numFmtId="0" fontId="4" fillId="21" borderId="0" xfId="0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44" fontId="18" fillId="2" borderId="0" xfId="0" applyNumberFormat="1" applyFont="1" applyFill="1" applyAlignment="1">
      <alignment vertical="center"/>
    </xf>
    <xf numFmtId="44" fontId="18" fillId="2" borderId="0" xfId="0" applyNumberFormat="1" applyFont="1" applyFill="1" applyAlignment="1">
      <alignment horizontal="right" vertical="center"/>
    </xf>
    <xf numFmtId="4" fontId="19" fillId="4" borderId="0" xfId="0" applyNumberFormat="1" applyFont="1" applyFill="1" applyAlignment="1">
      <alignment vertical="center"/>
    </xf>
    <xf numFmtId="44" fontId="20" fillId="4" borderId="0" xfId="0" applyNumberFormat="1" applyFont="1" applyFill="1" applyAlignment="1">
      <alignment vertical="center"/>
    </xf>
    <xf numFmtId="0" fontId="19" fillId="4" borderId="0" xfId="0" applyFont="1" applyFill="1" applyAlignment="1">
      <alignment vertical="center"/>
    </xf>
    <xf numFmtId="44" fontId="5" fillId="6" borderId="0" xfId="0" applyNumberFormat="1" applyFont="1" applyFill="1" applyAlignment="1">
      <alignment horizontal="right" vertical="center"/>
    </xf>
    <xf numFmtId="44" fontId="18" fillId="3" borderId="0" xfId="0" applyNumberFormat="1" applyFont="1" applyFill="1" applyAlignment="1">
      <alignment horizontal="left" vertical="center"/>
    </xf>
    <xf numFmtId="44" fontId="18" fillId="3" borderId="0" xfId="0" applyNumberFormat="1" applyFont="1" applyFill="1" applyAlignment="1">
      <alignment horizontal="right" vertical="center"/>
    </xf>
    <xf numFmtId="4" fontId="19" fillId="5" borderId="0" xfId="0" applyNumberFormat="1" applyFont="1" applyFill="1" applyAlignment="1">
      <alignment vertical="center"/>
    </xf>
    <xf numFmtId="44" fontId="20" fillId="5" borderId="0" xfId="0" applyNumberFormat="1" applyFont="1" applyFill="1" applyAlignment="1">
      <alignment vertical="center"/>
    </xf>
    <xf numFmtId="0" fontId="19" fillId="5" borderId="0" xfId="0" applyFont="1" applyFill="1" applyAlignment="1">
      <alignment vertical="center"/>
    </xf>
    <xf numFmtId="44" fontId="5" fillId="7" borderId="0" xfId="0" applyNumberFormat="1" applyFont="1" applyFill="1" applyAlignment="1">
      <alignment horizontal="right" vertical="center"/>
    </xf>
    <xf numFmtId="44" fontId="29" fillId="10" borderId="0" xfId="0" applyNumberFormat="1" applyFont="1" applyFill="1" applyAlignment="1">
      <alignment horizontal="left" vertical="center"/>
    </xf>
    <xf numFmtId="164" fontId="18" fillId="10" borderId="0" xfId="0" applyNumberFormat="1" applyFont="1" applyFill="1" applyAlignment="1">
      <alignment horizontal="right" vertical="center"/>
    </xf>
    <xf numFmtId="0" fontId="19" fillId="12" borderId="0" xfId="0" applyFont="1" applyFill="1" applyAlignment="1">
      <alignment horizontal="left" vertical="center"/>
    </xf>
    <xf numFmtId="164" fontId="19" fillId="12" borderId="0" xfId="0" applyNumberFormat="1" applyFont="1" applyFill="1"/>
    <xf numFmtId="164" fontId="19" fillId="12" borderId="0" xfId="0" applyNumberFormat="1" applyFont="1" applyFill="1" applyAlignment="1">
      <alignment horizontal="right" vertical="center"/>
    </xf>
    <xf numFmtId="44" fontId="5" fillId="13" borderId="0" xfId="0" applyNumberFormat="1" applyFont="1" applyFill="1" applyAlignment="1">
      <alignment horizontal="right" vertical="center"/>
    </xf>
    <xf numFmtId="164" fontId="23" fillId="18" borderId="0" xfId="0" applyNumberFormat="1" applyFont="1" applyFill="1" applyAlignment="1">
      <alignment vertical="center"/>
    </xf>
    <xf numFmtId="0" fontId="4" fillId="0" borderId="0" xfId="0" applyFont="1"/>
    <xf numFmtId="0" fontId="30" fillId="0" borderId="0" xfId="0" applyFont="1"/>
    <xf numFmtId="0" fontId="22" fillId="12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center" vertical="center"/>
    </xf>
    <xf numFmtId="0" fontId="4" fillId="0" borderId="0" xfId="0" applyFont="1" applyAlignment="1" applyProtection="1">
      <alignment horizontal="center"/>
      <protection locked="0"/>
    </xf>
    <xf numFmtId="164" fontId="4" fillId="0" borderId="0" xfId="0" applyNumberFormat="1" applyFont="1" applyProtection="1">
      <protection locked="0"/>
    </xf>
    <xf numFmtId="0" fontId="5" fillId="11" borderId="0" xfId="0" applyFont="1" applyFill="1" applyAlignment="1" applyProtection="1">
      <alignment horizontal="center" vertical="center"/>
      <protection locked="0"/>
    </xf>
    <xf numFmtId="0" fontId="7" fillId="0" borderId="0" xfId="0" applyFont="1" applyProtection="1">
      <protection locked="0"/>
    </xf>
    <xf numFmtId="0" fontId="8" fillId="21" borderId="0" xfId="0" applyFont="1" applyFill="1" applyAlignment="1" applyProtection="1">
      <alignment horizontal="center" vertical="center"/>
      <protection locked="0"/>
    </xf>
    <xf numFmtId="44" fontId="34" fillId="13" borderId="0" xfId="0" applyNumberFormat="1" applyFont="1" applyFill="1" applyAlignment="1">
      <alignment horizontal="left" vertical="center"/>
    </xf>
    <xf numFmtId="0" fontId="4" fillId="0" borderId="0" xfId="0" applyFont="1" applyAlignment="1" applyProtection="1">
      <alignment horizontal="left"/>
      <protection locked="0"/>
    </xf>
    <xf numFmtId="14" fontId="4" fillId="0" borderId="0" xfId="0" applyNumberFormat="1" applyFont="1" applyProtection="1">
      <protection locked="0"/>
    </xf>
    <xf numFmtId="0" fontId="27" fillId="11" borderId="0" xfId="0" applyFont="1" applyFill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right"/>
      <protection locked="0"/>
    </xf>
    <xf numFmtId="164" fontId="4" fillId="0" borderId="0" xfId="0" applyNumberFormat="1" applyFont="1" applyAlignment="1" applyProtection="1">
      <alignment horizontal="center"/>
      <protection locked="0"/>
    </xf>
    <xf numFmtId="0" fontId="2" fillId="9" borderId="0" xfId="0" applyFont="1" applyFill="1" applyAlignment="1">
      <alignment horizontal="right"/>
    </xf>
    <xf numFmtId="0" fontId="35" fillId="0" borderId="0" xfId="0" applyFont="1" applyProtection="1">
      <protection locked="0"/>
    </xf>
    <xf numFmtId="0" fontId="4" fillId="27" borderId="0" xfId="0" applyFont="1" applyFill="1" applyProtection="1">
      <protection locked="0"/>
    </xf>
    <xf numFmtId="0" fontId="35" fillId="27" borderId="0" xfId="0" applyFont="1" applyFill="1" applyProtection="1">
      <protection locked="0"/>
    </xf>
    <xf numFmtId="0" fontId="36" fillId="0" borderId="0" xfId="0" applyFont="1"/>
    <xf numFmtId="0" fontId="37" fillId="0" borderId="0" xfId="0" applyFont="1" applyProtection="1">
      <protection locked="0"/>
    </xf>
    <xf numFmtId="0" fontId="37" fillId="27" borderId="0" xfId="0" applyFont="1" applyFill="1" applyProtection="1">
      <protection locked="0"/>
    </xf>
    <xf numFmtId="0" fontId="38" fillId="27" borderId="0" xfId="0" applyFont="1" applyFill="1" applyProtection="1">
      <protection locked="0"/>
    </xf>
    <xf numFmtId="0" fontId="38" fillId="0" borderId="0" xfId="0" applyFont="1" applyProtection="1">
      <protection locked="0"/>
    </xf>
    <xf numFmtId="0" fontId="39" fillId="27" borderId="0" xfId="0" applyFont="1" applyFill="1" applyProtection="1">
      <protection locked="0"/>
    </xf>
    <xf numFmtId="0" fontId="40" fillId="27" borderId="0" xfId="0" applyFont="1" applyFill="1" applyProtection="1">
      <protection locked="0"/>
    </xf>
    <xf numFmtId="0" fontId="39" fillId="0" borderId="0" xfId="0" applyFont="1" applyProtection="1"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164" fontId="13" fillId="0" borderId="4" xfId="0" applyNumberFormat="1" applyFont="1" applyBorder="1" applyAlignment="1" applyProtection="1">
      <alignment horizontal="right" vertical="center"/>
      <protection locked="0"/>
    </xf>
    <xf numFmtId="164" fontId="13" fillId="0" borderId="5" xfId="0" applyNumberFormat="1" applyFont="1" applyBorder="1" applyAlignment="1" applyProtection="1">
      <alignment horizontal="right" vertical="center"/>
      <protection locked="0"/>
    </xf>
    <xf numFmtId="164" fontId="13" fillId="0" borderId="4" xfId="0" applyNumberFormat="1" applyFont="1" applyBorder="1" applyProtection="1">
      <protection locked="0"/>
    </xf>
    <xf numFmtId="164" fontId="13" fillId="0" borderId="5" xfId="0" applyNumberFormat="1" applyFont="1" applyBorder="1" applyProtection="1">
      <protection locked="0"/>
    </xf>
    <xf numFmtId="164" fontId="16" fillId="23" borderId="12" xfId="0" applyNumberFormat="1" applyFont="1" applyFill="1" applyBorder="1" applyAlignment="1" applyProtection="1">
      <alignment horizontal="center" vertical="center" wrapText="1"/>
      <protection locked="0"/>
    </xf>
    <xf numFmtId="164" fontId="16" fillId="23" borderId="14" xfId="0" applyNumberFormat="1" applyFont="1" applyFill="1" applyBorder="1" applyAlignment="1" applyProtection="1">
      <alignment horizontal="center" vertical="center" wrapText="1"/>
      <protection locked="0"/>
    </xf>
    <xf numFmtId="0" fontId="12" fillId="24" borderId="11" xfId="0" applyFont="1" applyFill="1" applyBorder="1" applyAlignment="1" applyProtection="1">
      <alignment horizontal="center" vertical="center" wrapText="1"/>
      <protection locked="0"/>
    </xf>
    <xf numFmtId="0" fontId="12" fillId="24" borderId="11" xfId="1" applyFont="1" applyFill="1" applyBorder="1" applyAlignment="1" applyProtection="1">
      <alignment horizontal="center" vertical="center"/>
      <protection locked="0"/>
    </xf>
    <xf numFmtId="164" fontId="16" fillId="23" borderId="11" xfId="0" applyNumberFormat="1" applyFont="1" applyFill="1" applyBorder="1" applyAlignment="1" applyProtection="1">
      <alignment horizontal="center" vertical="center" wrapText="1"/>
      <protection locked="0"/>
    </xf>
    <xf numFmtId="49" fontId="13" fillId="0" borderId="16" xfId="0" applyNumberFormat="1" applyFont="1" applyBorder="1" applyAlignment="1" applyProtection="1">
      <alignment horizontal="center" vertical="center"/>
      <protection locked="0"/>
    </xf>
    <xf numFmtId="49" fontId="13" fillId="0" borderId="16" xfId="0" applyNumberFormat="1" applyFont="1" applyBorder="1" applyAlignment="1" applyProtection="1">
      <alignment horizontal="left" vertical="center" wrapText="1"/>
      <protection locked="0"/>
    </xf>
    <xf numFmtId="164" fontId="13" fillId="0" borderId="16" xfId="0" applyNumberFormat="1" applyFont="1" applyBorder="1" applyAlignment="1" applyProtection="1">
      <alignment horizontal="right" vertical="center"/>
      <protection locked="0"/>
    </xf>
    <xf numFmtId="14" fontId="13" fillId="0" borderId="16" xfId="0" applyNumberFormat="1" applyFont="1" applyBorder="1" applyAlignment="1" applyProtection="1">
      <alignment horizontal="right" vertical="center"/>
      <protection locked="0"/>
    </xf>
    <xf numFmtId="14" fontId="13" fillId="0" borderId="16" xfId="0" applyNumberFormat="1" applyFont="1" applyBorder="1" applyAlignment="1" applyProtection="1">
      <alignment horizontal="center" vertical="center"/>
      <protection locked="0"/>
    </xf>
    <xf numFmtId="14" fontId="12" fillId="24" borderId="11" xfId="0" applyNumberFormat="1" applyFont="1" applyFill="1" applyBorder="1" applyAlignment="1" applyProtection="1">
      <alignment horizontal="center" vertical="center" wrapText="1"/>
      <protection locked="0"/>
    </xf>
    <xf numFmtId="0" fontId="12" fillId="24" borderId="11" xfId="1" applyFont="1" applyFill="1" applyBorder="1" applyAlignment="1" applyProtection="1">
      <alignment horizontal="center" vertical="center" wrapText="1"/>
      <protection locked="0"/>
    </xf>
    <xf numFmtId="164" fontId="34" fillId="13" borderId="0" xfId="0" applyNumberFormat="1" applyFont="1" applyFill="1" applyAlignment="1">
      <alignment horizontal="right" vertical="center"/>
    </xf>
    <xf numFmtId="0" fontId="43" fillId="0" borderId="0" xfId="0" applyFont="1" applyProtection="1">
      <protection locked="0"/>
    </xf>
    <xf numFmtId="14" fontId="28" fillId="21" borderId="7" xfId="0" applyNumberFormat="1" applyFont="1" applyFill="1" applyBorder="1" applyAlignment="1" applyProtection="1">
      <alignment vertical="center"/>
      <protection locked="0"/>
    </xf>
    <xf numFmtId="14" fontId="28" fillId="21" borderId="7" xfId="0" applyNumberFormat="1" applyFont="1" applyFill="1" applyBorder="1" applyAlignment="1" applyProtection="1">
      <alignment horizontal="center" vertical="center"/>
      <protection locked="0"/>
    </xf>
    <xf numFmtId="14" fontId="28" fillId="21" borderId="6" xfId="0" applyNumberFormat="1" applyFont="1" applyFill="1" applyBorder="1" applyAlignment="1" applyProtection="1">
      <alignment vertical="center"/>
      <protection locked="0"/>
    </xf>
    <xf numFmtId="14" fontId="28" fillId="21" borderId="0" xfId="0" applyNumberFormat="1" applyFont="1" applyFill="1" applyAlignment="1" applyProtection="1">
      <alignment horizontal="left" vertical="center"/>
      <protection locked="0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25" fillId="21" borderId="0" xfId="0" applyFont="1" applyFill="1" applyProtection="1">
      <protection locked="0"/>
    </xf>
    <xf numFmtId="0" fontId="25" fillId="21" borderId="0" xfId="0" applyFont="1" applyFill="1" applyAlignment="1" applyProtection="1">
      <alignment horizontal="center" vertical="top"/>
      <protection locked="0"/>
    </xf>
    <xf numFmtId="14" fontId="4" fillId="0" borderId="0" xfId="0" applyNumberFormat="1" applyFont="1" applyAlignment="1" applyProtection="1">
      <alignment horizontal="center"/>
      <protection locked="0"/>
    </xf>
    <xf numFmtId="14" fontId="4" fillId="21" borderId="0" xfId="0" applyNumberFormat="1" applyFont="1" applyFill="1" applyAlignment="1" applyProtection="1">
      <alignment horizontal="center"/>
      <protection locked="0"/>
    </xf>
    <xf numFmtId="14" fontId="13" fillId="0" borderId="0" xfId="0" applyNumberFormat="1" applyFont="1" applyAlignment="1" applyProtection="1">
      <alignment horizontal="center"/>
      <protection locked="0"/>
    </xf>
    <xf numFmtId="0" fontId="25" fillId="21" borderId="0" xfId="0" applyFont="1" applyFill="1" applyAlignment="1" applyProtection="1">
      <alignment vertical="top"/>
      <protection locked="0"/>
    </xf>
    <xf numFmtId="0" fontId="16" fillId="25" borderId="0" xfId="0" applyFont="1" applyFill="1" applyAlignment="1" applyProtection="1">
      <alignment horizontal="center" vertical="center" wrapText="1"/>
      <protection locked="0"/>
    </xf>
    <xf numFmtId="0" fontId="22" fillId="9" borderId="0" xfId="0" applyFont="1" applyFill="1" applyAlignment="1">
      <alignment horizontal="center" vertical="center"/>
    </xf>
    <xf numFmtId="0" fontId="21" fillId="0" borderId="0" xfId="0" applyFont="1"/>
    <xf numFmtId="0" fontId="21" fillId="0" borderId="0" xfId="0" applyFont="1" applyAlignment="1">
      <alignment horizontal="center"/>
    </xf>
    <xf numFmtId="164" fontId="48" fillId="23" borderId="1" xfId="1" applyNumberFormat="1" applyFont="1" applyFill="1" applyBorder="1" applyAlignment="1" applyProtection="1">
      <alignment horizontal="center" vertical="center"/>
      <protection locked="0"/>
    </xf>
    <xf numFmtId="164" fontId="48" fillId="23" borderId="11" xfId="1" applyNumberFormat="1" applyFont="1" applyFill="1" applyBorder="1" applyAlignment="1" applyProtection="1">
      <alignment horizontal="center" vertical="center"/>
      <protection locked="0"/>
    </xf>
    <xf numFmtId="164" fontId="48" fillId="23" borderId="3" xfId="1" applyNumberFormat="1" applyFont="1" applyFill="1" applyBorder="1" applyAlignment="1" applyProtection="1">
      <alignment horizontal="center" vertical="center"/>
      <protection locked="0"/>
    </xf>
    <xf numFmtId="164" fontId="16" fillId="31" borderId="11" xfId="0" applyNumberFormat="1" applyFont="1" applyFill="1" applyBorder="1" applyAlignment="1" applyProtection="1">
      <alignment horizontal="center" vertical="center" wrapText="1"/>
      <protection locked="0"/>
    </xf>
    <xf numFmtId="164" fontId="16" fillId="31" borderId="13" xfId="0" applyNumberFormat="1" applyFont="1" applyFill="1" applyBorder="1" applyAlignment="1" applyProtection="1">
      <alignment horizontal="center" vertical="center" wrapText="1"/>
      <protection locked="0"/>
    </xf>
    <xf numFmtId="164" fontId="48" fillId="31" borderId="12" xfId="1" applyNumberFormat="1" applyFont="1" applyFill="1" applyBorder="1" applyAlignment="1" applyProtection="1">
      <alignment horizontal="center" vertical="center"/>
      <protection locked="0"/>
    </xf>
    <xf numFmtId="164" fontId="48" fillId="31" borderId="11" xfId="1" applyNumberFormat="1" applyFont="1" applyFill="1" applyBorder="1" applyAlignment="1" applyProtection="1">
      <alignment horizontal="center" vertical="center"/>
      <protection locked="0"/>
    </xf>
    <xf numFmtId="164" fontId="48" fillId="31" borderId="14" xfId="1" applyNumberFormat="1" applyFont="1" applyFill="1" applyBorder="1" applyAlignment="1" applyProtection="1">
      <alignment horizontal="center" vertical="center"/>
      <protection locked="0"/>
    </xf>
    <xf numFmtId="164" fontId="50" fillId="24" borderId="11" xfId="0" applyNumberFormat="1" applyFont="1" applyFill="1" applyBorder="1" applyAlignment="1">
      <alignment horizontal="center" vertical="center" wrapText="1"/>
    </xf>
    <xf numFmtId="14" fontId="51" fillId="21" borderId="0" xfId="0" applyNumberFormat="1" applyFont="1" applyFill="1" applyAlignment="1" applyProtection="1">
      <alignment horizontal="center" vertical="center" wrapText="1"/>
      <protection locked="0"/>
    </xf>
    <xf numFmtId="164" fontId="48" fillId="30" borderId="13" xfId="0" applyNumberFormat="1" applyFont="1" applyFill="1" applyBorder="1" applyAlignment="1">
      <alignment horizontal="center" vertical="center" wrapText="1"/>
    </xf>
    <xf numFmtId="164" fontId="48" fillId="30" borderId="11" xfId="0" applyNumberFormat="1" applyFont="1" applyFill="1" applyBorder="1" applyAlignment="1">
      <alignment horizontal="center" vertical="center" wrapText="1"/>
    </xf>
    <xf numFmtId="44" fontId="24" fillId="2" borderId="0" xfId="0" applyNumberFormat="1" applyFont="1" applyFill="1" applyAlignment="1">
      <alignment horizontal="right" vertical="center"/>
    </xf>
    <xf numFmtId="44" fontId="24" fillId="3" borderId="0" xfId="0" applyNumberFormat="1" applyFont="1" applyFill="1" applyAlignment="1">
      <alignment horizontal="right" vertical="center"/>
    </xf>
    <xf numFmtId="44" fontId="49" fillId="6" borderId="0" xfId="0" applyNumberFormat="1" applyFont="1" applyFill="1" applyAlignment="1">
      <alignment horizontal="left" vertical="center"/>
    </xf>
    <xf numFmtId="44" fontId="49" fillId="7" borderId="0" xfId="0" applyNumberFormat="1" applyFont="1" applyFill="1" applyAlignment="1">
      <alignment horizontal="left" vertical="center"/>
    </xf>
    <xf numFmtId="4" fontId="22" fillId="4" borderId="0" xfId="0" applyNumberFormat="1" applyFont="1" applyFill="1" applyAlignment="1">
      <alignment vertical="center"/>
    </xf>
    <xf numFmtId="44" fontId="52" fillId="4" borderId="0" xfId="0" applyNumberFormat="1" applyFont="1" applyFill="1" applyAlignment="1">
      <alignment vertical="center"/>
    </xf>
    <xf numFmtId="44" fontId="31" fillId="0" borderId="0" xfId="0" applyNumberFormat="1" applyFont="1" applyAlignment="1">
      <alignment vertical="center"/>
    </xf>
    <xf numFmtId="44" fontId="52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44" fontId="53" fillId="6" borderId="0" xfId="0" applyNumberFormat="1" applyFont="1" applyFill="1" applyAlignment="1">
      <alignment horizontal="right" vertical="center"/>
    </xf>
    <xf numFmtId="44" fontId="53" fillId="7" borderId="0" xfId="0" applyNumberFormat="1" applyFont="1" applyFill="1" applyAlignment="1">
      <alignment horizontal="right" vertical="center"/>
    </xf>
    <xf numFmtId="0" fontId="25" fillId="21" borderId="0" xfId="1" applyFont="1" applyFill="1" applyBorder="1" applyAlignment="1" applyProtection="1">
      <alignment horizontal="center" vertical="top"/>
      <protection locked="0"/>
    </xf>
    <xf numFmtId="0" fontId="54" fillId="0" borderId="0" xfId="0" applyFont="1"/>
    <xf numFmtId="0" fontId="54" fillId="0" borderId="0" xfId="0" applyFont="1" applyProtection="1">
      <protection locked="0"/>
    </xf>
    <xf numFmtId="49" fontId="55" fillId="0" borderId="16" xfId="0" applyNumberFormat="1" applyFont="1" applyBorder="1" applyAlignment="1" applyProtection="1">
      <alignment horizontal="left" vertical="center" wrapText="1"/>
      <protection locked="0"/>
    </xf>
    <xf numFmtId="164" fontId="55" fillId="0" borderId="5" xfId="0" applyNumberFormat="1" applyFont="1" applyBorder="1" applyAlignment="1" applyProtection="1">
      <alignment horizontal="right" vertical="center"/>
      <protection locked="0"/>
    </xf>
    <xf numFmtId="0" fontId="56" fillId="0" borderId="0" xfId="0" applyFont="1" applyProtection="1">
      <protection locked="0"/>
    </xf>
    <xf numFmtId="0" fontId="58" fillId="0" borderId="0" xfId="0" applyFont="1" applyProtection="1">
      <protection locked="0"/>
    </xf>
    <xf numFmtId="14" fontId="59" fillId="0" borderId="16" xfId="0" applyNumberFormat="1" applyFont="1" applyBorder="1" applyAlignment="1" applyProtection="1">
      <alignment horizontal="right" vertical="center"/>
      <protection locked="0"/>
    </xf>
    <xf numFmtId="0" fontId="59" fillId="0" borderId="0" xfId="0" applyFont="1" applyAlignment="1" applyProtection="1">
      <alignment horizontal="center" vertical="center"/>
      <protection locked="0"/>
    </xf>
    <xf numFmtId="49" fontId="59" fillId="0" borderId="4" xfId="0" applyNumberFormat="1" applyFont="1" applyBorder="1" applyAlignment="1" applyProtection="1">
      <alignment horizontal="left" vertical="center"/>
      <protection locked="0"/>
    </xf>
    <xf numFmtId="14" fontId="59" fillId="0" borderId="16" xfId="0" applyNumberFormat="1" applyFont="1" applyBorder="1" applyAlignment="1" applyProtection="1">
      <alignment horizontal="center" vertical="center"/>
      <protection locked="0"/>
    </xf>
    <xf numFmtId="49" fontId="59" fillId="0" borderId="16" xfId="0" applyNumberFormat="1" applyFont="1" applyBorder="1" applyAlignment="1" applyProtection="1">
      <alignment horizontal="left"/>
      <protection locked="0"/>
    </xf>
    <xf numFmtId="49" fontId="59" fillId="0" borderId="16" xfId="0" applyNumberFormat="1" applyFont="1" applyBorder="1" applyAlignment="1" applyProtection="1">
      <alignment horizontal="left" vertical="center" wrapText="1"/>
      <protection locked="0"/>
    </xf>
    <xf numFmtId="49" fontId="59" fillId="0" borderId="0" xfId="0" applyNumberFormat="1" applyFont="1" applyAlignment="1" applyProtection="1">
      <alignment horizontal="center" vertical="center" wrapText="1"/>
      <protection locked="0"/>
    </xf>
    <xf numFmtId="164" fontId="59" fillId="0" borderId="16" xfId="0" applyNumberFormat="1" applyFont="1" applyBorder="1" applyAlignment="1" applyProtection="1">
      <alignment horizontal="right" vertical="center"/>
      <protection locked="0"/>
    </xf>
    <xf numFmtId="14" fontId="59" fillId="0" borderId="0" xfId="0" applyNumberFormat="1" applyFont="1" applyAlignment="1" applyProtection="1">
      <alignment horizontal="right" vertical="center"/>
      <protection locked="0"/>
    </xf>
    <xf numFmtId="0" fontId="59" fillId="0" borderId="0" xfId="0" quotePrefix="1" applyFont="1" applyAlignment="1" applyProtection="1">
      <alignment horizontal="center" vertical="center"/>
      <protection locked="0"/>
    </xf>
    <xf numFmtId="0" fontId="13" fillId="0" borderId="16" xfId="0" applyFont="1" applyBorder="1" applyAlignment="1" applyProtection="1">
      <alignment horizontal="center" vertical="center"/>
      <protection locked="0"/>
    </xf>
    <xf numFmtId="0" fontId="55" fillId="0" borderId="16" xfId="0" applyFont="1" applyBorder="1" applyAlignment="1" applyProtection="1">
      <alignment horizontal="center" vertical="center"/>
      <protection locked="0"/>
    </xf>
    <xf numFmtId="0" fontId="0" fillId="32" borderId="0" xfId="0" applyFill="1"/>
    <xf numFmtId="0" fontId="0" fillId="33" borderId="0" xfId="0" applyFill="1"/>
    <xf numFmtId="0" fontId="2" fillId="33" borderId="0" xfId="0" applyFont="1" applyFill="1" applyAlignment="1">
      <alignment horizontal="center"/>
    </xf>
    <xf numFmtId="0" fontId="2" fillId="3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59" fillId="0" borderId="16" xfId="0" applyFont="1" applyBorder="1" applyAlignment="1" applyProtection="1">
      <alignment horizontal="center" vertical="center"/>
      <protection locked="0"/>
    </xf>
    <xf numFmtId="0" fontId="36" fillId="0" borderId="0" xfId="0" applyFont="1" applyProtection="1">
      <protection locked="0"/>
    </xf>
    <xf numFmtId="49" fontId="59" fillId="0" borderId="16" xfId="0" applyNumberFormat="1" applyFont="1" applyBorder="1" applyAlignment="1" applyProtection="1">
      <alignment horizontal="center" vertical="center"/>
      <protection locked="0"/>
    </xf>
    <xf numFmtId="49" fontId="59" fillId="0" borderId="0" xfId="0" applyNumberFormat="1" applyFont="1" applyAlignment="1" applyProtection="1">
      <alignment horizontal="center" vertical="center"/>
      <protection locked="0"/>
    </xf>
    <xf numFmtId="0" fontId="59" fillId="0" borderId="0" xfId="0" applyFont="1" applyAlignment="1" applyProtection="1">
      <alignment horizontal="center"/>
      <protection locked="0"/>
    </xf>
    <xf numFmtId="164" fontId="59" fillId="0" borderId="4" xfId="0" applyNumberFormat="1" applyFont="1" applyBorder="1" applyAlignment="1" applyProtection="1">
      <alignment horizontal="right" vertical="center"/>
      <protection locked="0"/>
    </xf>
    <xf numFmtId="164" fontId="59" fillId="0" borderId="5" xfId="0" applyNumberFormat="1" applyFont="1" applyBorder="1" applyAlignment="1" applyProtection="1">
      <alignment horizontal="right" vertical="center"/>
      <protection locked="0"/>
    </xf>
    <xf numFmtId="164" fontId="59" fillId="0" borderId="4" xfId="0" applyNumberFormat="1" applyFont="1" applyBorder="1" applyProtection="1">
      <protection locked="0"/>
    </xf>
    <xf numFmtId="164" fontId="59" fillId="0" borderId="5" xfId="0" applyNumberFormat="1" applyFont="1" applyBorder="1" applyProtection="1">
      <protection locked="0"/>
    </xf>
    <xf numFmtId="14" fontId="59" fillId="0" borderId="15" xfId="0" applyNumberFormat="1" applyFont="1" applyBorder="1" applyAlignment="1" applyProtection="1">
      <alignment horizontal="right" vertical="center"/>
      <protection locked="0"/>
    </xf>
    <xf numFmtId="0" fontId="59" fillId="0" borderId="2" xfId="0" quotePrefix="1" applyFont="1" applyBorder="1" applyAlignment="1" applyProtection="1">
      <alignment horizontal="center" vertical="center"/>
      <protection locked="0"/>
    </xf>
    <xf numFmtId="49" fontId="59" fillId="0" borderId="1" xfId="0" applyNumberFormat="1" applyFont="1" applyBorder="1" applyAlignment="1" applyProtection="1">
      <alignment horizontal="left" vertical="center"/>
      <protection locked="0"/>
    </xf>
    <xf numFmtId="14" fontId="59" fillId="0" borderId="15" xfId="0" applyNumberFormat="1" applyFont="1" applyBorder="1" applyAlignment="1" applyProtection="1">
      <alignment horizontal="center" vertical="center"/>
      <protection locked="0"/>
    </xf>
    <xf numFmtId="49" fontId="59" fillId="0" borderId="2" xfId="0" applyNumberFormat="1" applyFont="1" applyBorder="1" applyAlignment="1" applyProtection="1">
      <alignment horizontal="center" vertical="center" wrapText="1"/>
      <protection locked="0"/>
    </xf>
    <xf numFmtId="164" fontId="59" fillId="0" borderId="15" xfId="0" applyNumberFormat="1" applyFont="1" applyBorder="1" applyAlignment="1" applyProtection="1">
      <alignment horizontal="right" vertical="center"/>
      <protection locked="0"/>
    </xf>
    <xf numFmtId="14" fontId="13" fillId="0" borderId="2" xfId="0" applyNumberFormat="1" applyFont="1" applyBorder="1" applyAlignment="1" applyProtection="1">
      <alignment horizontal="right" vertical="center"/>
      <protection locked="0"/>
    </xf>
    <xf numFmtId="49" fontId="13" fillId="0" borderId="4" xfId="0" applyNumberFormat="1" applyFont="1" applyBorder="1" applyAlignment="1" applyProtection="1">
      <alignment horizontal="left" vertical="center"/>
      <protection locked="0"/>
    </xf>
    <xf numFmtId="0" fontId="13" fillId="0" borderId="16" xfId="0" applyFont="1" applyBorder="1" applyAlignment="1" applyProtection="1">
      <alignment horizontal="left"/>
      <protection locked="0"/>
    </xf>
    <xf numFmtId="49" fontId="13" fillId="0" borderId="0" xfId="0" applyNumberFormat="1" applyFont="1" applyAlignment="1" applyProtection="1">
      <alignment horizontal="center" vertical="center" wrapText="1"/>
      <protection locked="0"/>
    </xf>
    <xf numFmtId="49" fontId="17" fillId="0" borderId="16" xfId="0" applyNumberFormat="1" applyFont="1" applyBorder="1" applyAlignment="1" applyProtection="1">
      <alignment horizontal="center" vertical="center"/>
      <protection locked="0"/>
    </xf>
    <xf numFmtId="49" fontId="17" fillId="0" borderId="0" xfId="0" applyNumberFormat="1" applyFont="1" applyAlignment="1" applyProtection="1">
      <alignment horizontal="center" vertical="center"/>
      <protection locked="0"/>
    </xf>
    <xf numFmtId="49" fontId="17" fillId="0" borderId="16" xfId="0" applyNumberFormat="1" applyFont="1" applyBorder="1" applyAlignment="1" applyProtection="1">
      <alignment horizontal="left" vertical="center" wrapText="1"/>
      <protection locked="0"/>
    </xf>
    <xf numFmtId="164" fontId="17" fillId="0" borderId="4" xfId="0" applyNumberFormat="1" applyFont="1" applyBorder="1" applyAlignment="1" applyProtection="1">
      <alignment horizontal="right" vertical="center"/>
      <protection locked="0"/>
    </xf>
    <xf numFmtId="164" fontId="17" fillId="0" borderId="5" xfId="0" applyNumberFormat="1" applyFont="1" applyBorder="1" applyProtection="1">
      <protection locked="0"/>
    </xf>
    <xf numFmtId="0" fontId="17" fillId="0" borderId="16" xfId="0" applyFont="1" applyBorder="1" applyAlignment="1" applyProtection="1">
      <alignment horizontal="center" vertical="center"/>
      <protection locked="0"/>
    </xf>
    <xf numFmtId="164" fontId="17" fillId="0" borderId="16" xfId="0" applyNumberFormat="1" applyFont="1" applyBorder="1" applyAlignment="1" applyProtection="1">
      <alignment horizontal="right" vertical="center"/>
      <protection locked="0"/>
    </xf>
    <xf numFmtId="164" fontId="17" fillId="0" borderId="4" xfId="0" applyNumberFormat="1" applyFont="1" applyBorder="1" applyProtection="1">
      <protection locked="0"/>
    </xf>
    <xf numFmtId="164" fontId="28" fillId="22" borderId="6" xfId="0" applyNumberFormat="1" applyFont="1" applyFill="1" applyBorder="1" applyAlignment="1">
      <alignment horizontal="right" vertical="center"/>
    </xf>
    <xf numFmtId="164" fontId="13" fillId="0" borderId="15" xfId="0" applyNumberFormat="1" applyFont="1" applyBorder="1" applyAlignment="1">
      <alignment horizontal="right" vertical="center"/>
    </xf>
    <xf numFmtId="49" fontId="60" fillId="0" borderId="16" xfId="0" applyNumberFormat="1" applyFont="1" applyBorder="1" applyAlignment="1" applyProtection="1">
      <alignment horizontal="center" vertical="center"/>
      <protection locked="0"/>
    </xf>
    <xf numFmtId="49" fontId="60" fillId="0" borderId="0" xfId="0" applyNumberFormat="1" applyFont="1" applyAlignment="1" applyProtection="1">
      <alignment horizontal="center" vertical="center"/>
      <protection locked="0"/>
    </xf>
    <xf numFmtId="49" fontId="60" fillId="0" borderId="16" xfId="0" applyNumberFormat="1" applyFont="1" applyBorder="1" applyAlignment="1" applyProtection="1">
      <alignment horizontal="left" vertical="center" wrapText="1"/>
      <protection locked="0"/>
    </xf>
    <xf numFmtId="0" fontId="60" fillId="0" borderId="0" xfId="0" applyFont="1" applyAlignment="1" applyProtection="1">
      <alignment horizontal="center"/>
      <protection locked="0"/>
    </xf>
    <xf numFmtId="164" fontId="60" fillId="0" borderId="4" xfId="0" applyNumberFormat="1" applyFont="1" applyBorder="1" applyAlignment="1" applyProtection="1">
      <alignment horizontal="right" vertical="center"/>
      <protection locked="0"/>
    </xf>
    <xf numFmtId="164" fontId="60" fillId="0" borderId="16" xfId="0" applyNumberFormat="1" applyFont="1" applyBorder="1" applyAlignment="1" applyProtection="1">
      <alignment horizontal="right" vertical="center"/>
      <protection locked="0"/>
    </xf>
    <xf numFmtId="164" fontId="60" fillId="0" borderId="5" xfId="0" applyNumberFormat="1" applyFont="1" applyBorder="1" applyAlignment="1" applyProtection="1">
      <alignment horizontal="right" vertical="center"/>
      <protection locked="0"/>
    </xf>
    <xf numFmtId="164" fontId="60" fillId="0" borderId="5" xfId="0" applyNumberFormat="1" applyFont="1" applyBorder="1" applyProtection="1">
      <protection locked="0"/>
    </xf>
    <xf numFmtId="165" fontId="13" fillId="0" borderId="4" xfId="0" applyNumberFormat="1" applyFont="1" applyBorder="1" applyAlignment="1" applyProtection="1">
      <alignment horizontal="right" vertical="center"/>
      <protection locked="0"/>
    </xf>
    <xf numFmtId="165" fontId="59" fillId="0" borderId="4" xfId="0" applyNumberFormat="1" applyFont="1" applyBorder="1" applyAlignment="1" applyProtection="1">
      <alignment horizontal="right" vertical="center"/>
      <protection locked="0"/>
    </xf>
    <xf numFmtId="165" fontId="60" fillId="0" borderId="4" xfId="0" applyNumberFormat="1" applyFont="1" applyBorder="1" applyAlignment="1" applyProtection="1">
      <alignment horizontal="right" vertical="center"/>
      <protection locked="0"/>
    </xf>
    <xf numFmtId="165" fontId="17" fillId="0" borderId="4" xfId="0" applyNumberFormat="1" applyFont="1" applyBorder="1" applyAlignment="1" applyProtection="1">
      <alignment horizontal="right" vertical="center"/>
      <protection locked="0"/>
    </xf>
    <xf numFmtId="165" fontId="61" fillId="0" borderId="4" xfId="0" applyNumberFormat="1" applyFont="1" applyBorder="1" applyAlignment="1" applyProtection="1">
      <alignment horizontal="right" vertical="center"/>
      <protection locked="0"/>
    </xf>
    <xf numFmtId="164" fontId="61" fillId="0" borderId="4" xfId="0" applyNumberFormat="1" applyFont="1" applyBorder="1" applyAlignment="1" applyProtection="1">
      <alignment horizontal="right" vertical="center"/>
      <protection locked="0"/>
    </xf>
    <xf numFmtId="164" fontId="61" fillId="0" borderId="16" xfId="0" applyNumberFormat="1" applyFont="1" applyBorder="1" applyAlignment="1" applyProtection="1">
      <alignment horizontal="right" vertical="center"/>
      <protection locked="0"/>
    </xf>
    <xf numFmtId="164" fontId="61" fillId="0" borderId="5" xfId="0" applyNumberFormat="1" applyFont="1" applyBorder="1" applyProtection="1">
      <protection locked="0"/>
    </xf>
    <xf numFmtId="17" fontId="0" fillId="0" borderId="0" xfId="0" applyNumberFormat="1"/>
    <xf numFmtId="49" fontId="13" fillId="0" borderId="15" xfId="0" applyNumberFormat="1" applyFont="1" applyBorder="1" applyAlignment="1" applyProtection="1">
      <alignment horizontal="left"/>
      <protection locked="0"/>
    </xf>
    <xf numFmtId="0" fontId="13" fillId="0" borderId="15" xfId="0" applyFont="1" applyBorder="1" applyAlignment="1" applyProtection="1">
      <alignment horizontal="center" vertical="center"/>
      <protection locked="0"/>
    </xf>
    <xf numFmtId="49" fontId="13" fillId="0" borderId="15" xfId="0" applyNumberFormat="1" applyFont="1" applyBorder="1" applyAlignment="1" applyProtection="1">
      <alignment horizontal="left" vertical="center" wrapText="1"/>
      <protection locked="0"/>
    </xf>
    <xf numFmtId="0" fontId="37" fillId="0" borderId="0" xfId="0" applyFont="1" applyFill="1" applyProtection="1">
      <protection locked="0"/>
    </xf>
    <xf numFmtId="165" fontId="13" fillId="0" borderId="4" xfId="0" applyNumberFormat="1" applyFont="1" applyFill="1" applyBorder="1" applyAlignment="1" applyProtection="1">
      <alignment horizontal="right" vertical="center"/>
      <protection locked="0"/>
    </xf>
    <xf numFmtId="49" fontId="13" fillId="0" borderId="16" xfId="0" applyNumberFormat="1" applyFont="1" applyFill="1" applyBorder="1" applyAlignment="1" applyProtection="1">
      <alignment horizontal="center" vertical="center"/>
      <protection locked="0"/>
    </xf>
    <xf numFmtId="49" fontId="13" fillId="0" borderId="0" xfId="0" applyNumberFormat="1" applyFont="1" applyFill="1" applyAlignment="1" applyProtection="1">
      <alignment horizontal="center" vertical="center"/>
      <protection locked="0"/>
    </xf>
    <xf numFmtId="49" fontId="13" fillId="0" borderId="16" xfId="0" applyNumberFormat="1" applyFont="1" applyFill="1" applyBorder="1" applyAlignment="1" applyProtection="1">
      <alignment horizontal="left" vertical="center" wrapText="1"/>
      <protection locked="0"/>
    </xf>
    <xf numFmtId="0" fontId="13" fillId="0" borderId="0" xfId="0" applyFont="1" applyFill="1" applyAlignment="1" applyProtection="1">
      <alignment horizontal="center"/>
      <protection locked="0"/>
    </xf>
    <xf numFmtId="164" fontId="13" fillId="0" borderId="4" xfId="0" applyNumberFormat="1" applyFont="1" applyFill="1" applyBorder="1" applyAlignment="1" applyProtection="1">
      <alignment horizontal="right" vertical="center"/>
      <protection locked="0"/>
    </xf>
    <xf numFmtId="164" fontId="13" fillId="0" borderId="16" xfId="0" applyNumberFormat="1" applyFont="1" applyFill="1" applyBorder="1" applyAlignment="1" applyProtection="1">
      <alignment horizontal="right" vertical="center"/>
      <protection locked="0"/>
    </xf>
    <xf numFmtId="164" fontId="13" fillId="0" borderId="5" xfId="0" applyNumberFormat="1" applyFont="1" applyFill="1" applyBorder="1" applyProtection="1">
      <protection locked="0"/>
    </xf>
    <xf numFmtId="0" fontId="63" fillId="34" borderId="24" xfId="2" applyFont="1" applyFill="1" applyBorder="1"/>
    <xf numFmtId="0" fontId="63" fillId="34" borderId="24" xfId="2" applyFont="1" applyFill="1" applyBorder="1" applyAlignment="1">
      <alignment horizontal="center"/>
    </xf>
    <xf numFmtId="0" fontId="62" fillId="34" borderId="24" xfId="2" applyFill="1" applyBorder="1" applyAlignment="1">
      <alignment wrapText="1"/>
    </xf>
    <xf numFmtId="0" fontId="62" fillId="34" borderId="24" xfId="2" applyFill="1" applyBorder="1" applyAlignment="1">
      <alignment horizontal="center" wrapText="1"/>
    </xf>
    <xf numFmtId="0" fontId="62" fillId="0" borderId="23" xfId="2" applyBorder="1"/>
    <xf numFmtId="0" fontId="62" fillId="0" borderId="23" xfId="2" applyBorder="1" applyAlignment="1">
      <alignment horizontal="center"/>
    </xf>
    <xf numFmtId="0" fontId="62" fillId="34" borderId="23" xfId="2" applyFill="1" applyBorder="1"/>
    <xf numFmtId="0" fontId="62" fillId="34" borderId="23" xfId="2" applyFill="1" applyBorder="1" applyAlignment="1">
      <alignment horizontal="right"/>
    </xf>
    <xf numFmtId="166" fontId="62" fillId="34" borderId="23" xfId="2" applyNumberFormat="1" applyFill="1" applyBorder="1" applyAlignment="1">
      <alignment horizontal="right"/>
    </xf>
    <xf numFmtId="0" fontId="62" fillId="0" borderId="23" xfId="2" applyBorder="1" applyAlignment="1">
      <alignment horizontal="right"/>
    </xf>
    <xf numFmtId="166" fontId="62" fillId="0" borderId="23" xfId="2" applyNumberFormat="1" applyBorder="1" applyAlignment="1">
      <alignment horizontal="right"/>
    </xf>
    <xf numFmtId="166" fontId="62" fillId="34" borderId="23" xfId="2" applyNumberFormat="1" applyFill="1" applyBorder="1" applyAlignment="1">
      <alignment horizontal="right" vertical="center"/>
    </xf>
    <xf numFmtId="0" fontId="63" fillId="34" borderId="23" xfId="2" applyFont="1" applyFill="1" applyBorder="1"/>
    <xf numFmtId="166" fontId="64" fillId="34" borderId="23" xfId="2" applyNumberFormat="1" applyFont="1" applyFill="1" applyBorder="1" applyAlignment="1">
      <alignment horizontal="right"/>
    </xf>
    <xf numFmtId="166" fontId="63" fillId="34" borderId="23" xfId="2" applyNumberFormat="1" applyFont="1" applyFill="1" applyBorder="1" applyAlignment="1">
      <alignment horizontal="right"/>
    </xf>
    <xf numFmtId="0" fontId="63" fillId="0" borderId="23" xfId="2" applyFont="1" applyBorder="1"/>
    <xf numFmtId="0" fontId="63" fillId="34" borderId="25" xfId="2" applyFont="1" applyFill="1" applyBorder="1"/>
    <xf numFmtId="166" fontId="62" fillId="34" borderId="25" xfId="2" applyNumberFormat="1" applyFill="1" applyBorder="1" applyAlignment="1">
      <alignment horizontal="right"/>
    </xf>
    <xf numFmtId="166" fontId="63" fillId="34" borderId="25" xfId="2" applyNumberFormat="1" applyFont="1" applyFill="1" applyBorder="1" applyAlignment="1">
      <alignment horizontal="right"/>
    </xf>
    <xf numFmtId="0" fontId="62" fillId="0" borderId="0" xfId="2"/>
    <xf numFmtId="167" fontId="62" fillId="0" borderId="0" xfId="2" applyNumberFormat="1" applyAlignment="1">
      <alignment horizontal="right"/>
    </xf>
    <xf numFmtId="0" fontId="2" fillId="0" borderId="0" xfId="2" applyFont="1"/>
    <xf numFmtId="167" fontId="2" fillId="0" borderId="0" xfId="2" applyNumberFormat="1" applyFont="1" applyAlignment="1">
      <alignment horizontal="right"/>
    </xf>
    <xf numFmtId="0" fontId="65" fillId="0" borderId="0" xfId="0" applyFont="1" applyFill="1" applyProtection="1">
      <protection locked="0"/>
    </xf>
    <xf numFmtId="14" fontId="60" fillId="0" borderId="16" xfId="0" applyNumberFormat="1" applyFont="1" applyFill="1" applyBorder="1" applyAlignment="1" applyProtection="1">
      <alignment horizontal="right" vertical="center"/>
      <protection locked="0"/>
    </xf>
    <xf numFmtId="0" fontId="60" fillId="0" borderId="0" xfId="0" applyNumberFormat="1" applyFont="1" applyFill="1" applyAlignment="1" applyProtection="1">
      <alignment horizontal="center" vertical="center"/>
      <protection locked="0"/>
    </xf>
    <xf numFmtId="49" fontId="60" fillId="0" borderId="16" xfId="0" applyNumberFormat="1" applyFont="1" applyFill="1" applyBorder="1" applyAlignment="1" applyProtection="1">
      <alignment horizontal="left" vertical="center"/>
      <protection locked="0"/>
    </xf>
    <xf numFmtId="14" fontId="60" fillId="0" borderId="16" xfId="0" applyNumberFormat="1" applyFont="1" applyFill="1" applyBorder="1" applyAlignment="1" applyProtection="1">
      <alignment horizontal="center" vertical="center"/>
      <protection locked="0"/>
    </xf>
    <xf numFmtId="14" fontId="60" fillId="0" borderId="0" xfId="0" applyNumberFormat="1" applyFont="1" applyFill="1" applyAlignment="1" applyProtection="1">
      <alignment horizontal="center" vertical="center"/>
      <protection locked="0"/>
    </xf>
    <xf numFmtId="49" fontId="60" fillId="0" borderId="16" xfId="0" applyNumberFormat="1" applyFont="1" applyFill="1" applyBorder="1" applyAlignment="1" applyProtection="1">
      <alignment horizontal="center"/>
      <protection locked="0"/>
    </xf>
    <xf numFmtId="49" fontId="60" fillId="0" borderId="16" xfId="0" applyNumberFormat="1" applyFont="1" applyFill="1" applyBorder="1" applyAlignment="1" applyProtection="1">
      <alignment horizontal="center" vertical="center" wrapText="1"/>
      <protection locked="0"/>
    </xf>
    <xf numFmtId="164" fontId="60" fillId="0" borderId="5" xfId="0" applyNumberFormat="1" applyFont="1" applyFill="1" applyBorder="1" applyAlignment="1" applyProtection="1">
      <alignment horizontal="right" vertical="center"/>
      <protection locked="0"/>
    </xf>
    <xf numFmtId="164" fontId="60" fillId="0" borderId="16" xfId="0" applyNumberFormat="1" applyFont="1" applyFill="1" applyBorder="1" applyAlignment="1" applyProtection="1">
      <alignment horizontal="right" vertical="center"/>
      <protection locked="0"/>
    </xf>
    <xf numFmtId="17" fontId="0" fillId="0" borderId="26" xfId="0" applyNumberFormat="1" applyBorder="1"/>
    <xf numFmtId="0" fontId="0" fillId="33" borderId="26" xfId="0" applyFill="1" applyBorder="1"/>
    <xf numFmtId="0" fontId="0" fillId="32" borderId="26" xfId="0" applyFill="1" applyBorder="1"/>
    <xf numFmtId="167" fontId="1" fillId="0" borderId="0" xfId="2" applyNumberFormat="1" applyFont="1"/>
    <xf numFmtId="0" fontId="68" fillId="28" borderId="0" xfId="0" applyFont="1" applyFill="1" applyAlignment="1">
      <alignment horizontal="center" vertical="center" wrapText="1"/>
    </xf>
    <xf numFmtId="0" fontId="66" fillId="0" borderId="0" xfId="0" pivotButton="1" applyFont="1" applyAlignment="1">
      <alignment vertical="center"/>
    </xf>
    <xf numFmtId="0" fontId="66" fillId="0" borderId="0" xfId="0" applyFont="1" applyAlignment="1">
      <alignment vertical="center"/>
    </xf>
    <xf numFmtId="0" fontId="66" fillId="0" borderId="0" xfId="0" applyFont="1" applyAlignment="1">
      <alignment horizontal="left" vertical="center"/>
    </xf>
    <xf numFmtId="164" fontId="67" fillId="0" borderId="0" xfId="0" applyNumberFormat="1" applyFont="1" applyAlignment="1">
      <alignment vertical="center"/>
    </xf>
    <xf numFmtId="0" fontId="67" fillId="25" borderId="0" xfId="0" applyFont="1" applyFill="1" applyAlignment="1">
      <alignment horizontal="left" vertical="center"/>
    </xf>
    <xf numFmtId="164" fontId="67" fillId="25" borderId="0" xfId="0" applyNumberFormat="1" applyFont="1" applyFill="1" applyAlignment="1">
      <alignment horizontal="right" vertical="center"/>
    </xf>
    <xf numFmtId="165" fontId="60" fillId="0" borderId="4" xfId="0" applyNumberFormat="1" applyFont="1" applyFill="1" applyBorder="1" applyAlignment="1" applyProtection="1">
      <alignment horizontal="right" vertical="center"/>
      <protection locked="0"/>
    </xf>
    <xf numFmtId="49" fontId="60" fillId="0" borderId="16" xfId="0" applyNumberFormat="1" applyFont="1" applyFill="1" applyBorder="1" applyAlignment="1" applyProtection="1">
      <alignment horizontal="center" vertical="center"/>
      <protection locked="0"/>
    </xf>
    <xf numFmtId="49" fontId="60" fillId="0" borderId="0" xfId="0" applyNumberFormat="1" applyFont="1" applyFill="1" applyAlignment="1" applyProtection="1">
      <alignment horizontal="center" vertical="center"/>
      <protection locked="0"/>
    </xf>
    <xf numFmtId="0" fontId="60" fillId="0" borderId="0" xfId="0" applyFont="1" applyFill="1" applyAlignment="1" applyProtection="1">
      <alignment horizontal="center"/>
      <protection locked="0"/>
    </xf>
    <xf numFmtId="164" fontId="60" fillId="0" borderId="4" xfId="0" applyNumberFormat="1" applyFont="1" applyFill="1" applyBorder="1" applyAlignment="1" applyProtection="1">
      <alignment horizontal="right" vertical="center"/>
      <protection locked="0"/>
    </xf>
    <xf numFmtId="164" fontId="60" fillId="0" borderId="4" xfId="0" applyNumberFormat="1" applyFont="1" applyFill="1" applyBorder="1" applyProtection="1">
      <protection locked="0"/>
    </xf>
    <xf numFmtId="164" fontId="60" fillId="0" borderId="5" xfId="0" applyNumberFormat="1" applyFont="1" applyFill="1" applyBorder="1" applyProtection="1">
      <protection locked="0"/>
    </xf>
    <xf numFmtId="164" fontId="13" fillId="0" borderId="16" xfId="0" applyNumberFormat="1" applyFont="1" applyBorder="1" applyProtection="1">
      <protection locked="0"/>
    </xf>
    <xf numFmtId="164" fontId="59" fillId="0" borderId="16" xfId="0" applyNumberFormat="1" applyFont="1" applyBorder="1" applyProtection="1">
      <protection locked="0"/>
    </xf>
    <xf numFmtId="164" fontId="60" fillId="0" borderId="16" xfId="0" applyNumberFormat="1" applyFont="1" applyBorder="1" applyProtection="1">
      <protection locked="0"/>
    </xf>
    <xf numFmtId="14" fontId="28" fillId="21" borderId="19" xfId="0" applyNumberFormat="1" applyFont="1" applyFill="1" applyBorder="1" applyAlignment="1" applyProtection="1">
      <alignment horizontal="left" vertical="center"/>
      <protection locked="0"/>
    </xf>
    <xf numFmtId="14" fontId="28" fillId="21" borderId="20" xfId="0" applyNumberFormat="1" applyFont="1" applyFill="1" applyBorder="1" applyAlignment="1" applyProtection="1">
      <alignment horizontal="left" vertical="center"/>
      <protection locked="0"/>
    </xf>
    <xf numFmtId="164" fontId="42" fillId="31" borderId="12" xfId="1" applyNumberFormat="1" applyFont="1" applyFill="1" applyBorder="1" applyAlignment="1" applyProtection="1">
      <alignment horizontal="center" vertical="center"/>
      <protection locked="0"/>
    </xf>
    <xf numFmtId="164" fontId="42" fillId="31" borderId="13" xfId="1" applyNumberFormat="1" applyFont="1" applyFill="1" applyBorder="1" applyAlignment="1" applyProtection="1">
      <alignment horizontal="center" vertical="center"/>
      <protection locked="0"/>
    </xf>
    <xf numFmtId="164" fontId="42" fillId="31" borderId="14" xfId="1" applyNumberFormat="1" applyFont="1" applyFill="1" applyBorder="1" applyAlignment="1" applyProtection="1">
      <alignment horizontal="center" vertical="center"/>
      <protection locked="0"/>
    </xf>
    <xf numFmtId="164" fontId="42" fillId="23" borderId="1" xfId="1" applyNumberFormat="1" applyFont="1" applyFill="1" applyBorder="1" applyAlignment="1" applyProtection="1">
      <alignment horizontal="center" vertical="center"/>
      <protection locked="0"/>
    </xf>
    <xf numFmtId="164" fontId="42" fillId="23" borderId="2" xfId="1" applyNumberFormat="1" applyFont="1" applyFill="1" applyBorder="1" applyAlignment="1" applyProtection="1">
      <alignment horizontal="center" vertical="center"/>
      <protection locked="0"/>
    </xf>
    <xf numFmtId="164" fontId="42" fillId="23" borderId="3" xfId="1" applyNumberFormat="1" applyFont="1" applyFill="1" applyBorder="1" applyAlignment="1" applyProtection="1">
      <alignment horizontal="center" vertical="center"/>
      <protection locked="0"/>
    </xf>
    <xf numFmtId="0" fontId="33" fillId="11" borderId="0" xfId="1" applyFont="1" applyFill="1" applyBorder="1" applyAlignment="1" applyProtection="1">
      <alignment horizontal="center" vertical="center"/>
      <protection locked="0"/>
    </xf>
    <xf numFmtId="164" fontId="6" fillId="11" borderId="0" xfId="0" applyNumberFormat="1" applyFont="1" applyFill="1" applyAlignment="1">
      <alignment horizontal="center" vertical="center" wrapText="1"/>
    </xf>
    <xf numFmtId="164" fontId="32" fillId="11" borderId="0" xfId="0" applyNumberFormat="1" applyFont="1" applyFill="1" applyAlignment="1">
      <alignment horizontal="right" vertical="center" wrapText="1"/>
    </xf>
    <xf numFmtId="0" fontId="45" fillId="21" borderId="0" xfId="0" applyFont="1" applyFill="1" applyAlignment="1" applyProtection="1">
      <alignment horizontal="center" vertical="top"/>
      <protection locked="0"/>
    </xf>
    <xf numFmtId="14" fontId="28" fillId="21" borderId="7" xfId="0" applyNumberFormat="1" applyFont="1" applyFill="1" applyBorder="1" applyAlignment="1" applyProtection="1">
      <alignment horizontal="left" vertical="center"/>
      <protection locked="0"/>
    </xf>
    <xf numFmtId="14" fontId="28" fillId="21" borderId="8" xfId="0" applyNumberFormat="1" applyFont="1" applyFill="1" applyBorder="1" applyAlignment="1" applyProtection="1">
      <alignment horizontal="left" vertical="center"/>
      <protection locked="0"/>
    </xf>
    <xf numFmtId="164" fontId="28" fillId="22" borderId="9" xfId="0" applyNumberFormat="1" applyFont="1" applyFill="1" applyBorder="1" applyAlignment="1" applyProtection="1">
      <alignment horizontal="center" vertical="center"/>
      <protection locked="0"/>
    </xf>
    <xf numFmtId="164" fontId="28" fillId="22" borderId="10" xfId="0" applyNumberFormat="1" applyFont="1" applyFill="1" applyBorder="1" applyAlignment="1" applyProtection="1">
      <alignment horizontal="center" vertical="center"/>
      <protection locked="0"/>
    </xf>
    <xf numFmtId="14" fontId="28" fillId="21" borderId="21" xfId="0" applyNumberFormat="1" applyFont="1" applyFill="1" applyBorder="1" applyAlignment="1" applyProtection="1">
      <alignment horizontal="center" vertical="center"/>
      <protection locked="0"/>
    </xf>
    <xf numFmtId="14" fontId="28" fillId="21" borderId="22" xfId="0" applyNumberFormat="1" applyFont="1" applyFill="1" applyBorder="1" applyAlignment="1" applyProtection="1">
      <alignment horizontal="center" vertical="center"/>
      <protection locked="0"/>
    </xf>
    <xf numFmtId="0" fontId="28" fillId="21" borderId="7" xfId="0" applyFont="1" applyFill="1" applyBorder="1" applyAlignment="1" applyProtection="1">
      <alignment horizontal="left" vertical="center"/>
      <protection locked="0"/>
    </xf>
    <xf numFmtId="0" fontId="28" fillId="21" borderId="18" xfId="0" applyFont="1" applyFill="1" applyBorder="1" applyAlignment="1" applyProtection="1">
      <alignment horizontal="left" vertical="center"/>
      <protection locked="0"/>
    </xf>
    <xf numFmtId="0" fontId="28" fillId="21" borderId="8" xfId="0" applyFont="1" applyFill="1" applyBorder="1" applyAlignment="1" applyProtection="1">
      <alignment horizontal="left" vertical="center"/>
      <protection locked="0"/>
    </xf>
    <xf numFmtId="164" fontId="28" fillId="22" borderId="7" xfId="0" applyNumberFormat="1" applyFont="1" applyFill="1" applyBorder="1" applyAlignment="1" applyProtection="1">
      <alignment horizontal="right" vertical="center"/>
      <protection locked="0"/>
    </xf>
    <xf numFmtId="164" fontId="28" fillId="22" borderId="8" xfId="0" applyNumberFormat="1" applyFont="1" applyFill="1" applyBorder="1" applyAlignment="1" applyProtection="1">
      <alignment horizontal="right" vertical="center"/>
      <protection locked="0"/>
    </xf>
    <xf numFmtId="164" fontId="32" fillId="11" borderId="0" xfId="0" applyNumberFormat="1" applyFont="1" applyFill="1" applyAlignment="1">
      <alignment horizontal="right" wrapText="1"/>
    </xf>
    <xf numFmtId="0" fontId="5" fillId="11" borderId="0" xfId="0" applyFont="1" applyFill="1" applyAlignment="1">
      <alignment horizontal="center" vertical="center"/>
    </xf>
    <xf numFmtId="0" fontId="44" fillId="11" borderId="0" xfId="1" applyFont="1" applyFill="1" applyBorder="1" applyAlignment="1" applyProtection="1">
      <alignment horizontal="center" vertical="center"/>
      <protection locked="0"/>
    </xf>
    <xf numFmtId="14" fontId="28" fillId="21" borderId="18" xfId="0" applyNumberFormat="1" applyFont="1" applyFill="1" applyBorder="1" applyAlignment="1" applyProtection="1">
      <alignment horizontal="left" vertical="center"/>
      <protection locked="0"/>
    </xf>
    <xf numFmtId="0" fontId="25" fillId="21" borderId="0" xfId="1" applyFont="1" applyFill="1" applyBorder="1" applyAlignment="1" applyProtection="1">
      <alignment horizontal="center" vertical="top"/>
      <protection locked="0"/>
    </xf>
    <xf numFmtId="0" fontId="41" fillId="26" borderId="12" xfId="1" applyFont="1" applyFill="1" applyBorder="1" applyAlignment="1" applyProtection="1">
      <alignment horizontal="center" vertical="center"/>
      <protection locked="0"/>
    </xf>
    <xf numFmtId="0" fontId="41" fillId="26" borderId="13" xfId="1" applyFont="1" applyFill="1" applyBorder="1" applyAlignment="1" applyProtection="1">
      <alignment horizontal="center" vertical="center"/>
      <protection locked="0"/>
    </xf>
    <xf numFmtId="0" fontId="41" fillId="26" borderId="14" xfId="1" applyFont="1" applyFill="1" applyBorder="1" applyAlignment="1" applyProtection="1">
      <alignment horizontal="center" vertical="center"/>
      <protection locked="0"/>
    </xf>
    <xf numFmtId="0" fontId="11" fillId="12" borderId="15" xfId="0" applyFont="1" applyFill="1" applyBorder="1" applyAlignment="1" applyProtection="1">
      <alignment horizontal="center" vertical="center" textRotation="180"/>
      <protection locked="0"/>
    </xf>
    <xf numFmtId="0" fontId="11" fillId="12" borderId="16" xfId="0" applyFont="1" applyFill="1" applyBorder="1" applyAlignment="1" applyProtection="1">
      <alignment horizontal="center" vertical="center" textRotation="180"/>
      <protection locked="0"/>
    </xf>
    <xf numFmtId="0" fontId="11" fillId="12" borderId="17" xfId="0" applyFont="1" applyFill="1" applyBorder="1" applyAlignment="1" applyProtection="1">
      <alignment horizontal="center" vertical="center" textRotation="180"/>
      <protection locked="0"/>
    </xf>
    <xf numFmtId="0" fontId="19" fillId="13" borderId="12" xfId="1" applyFont="1" applyFill="1" applyBorder="1" applyAlignment="1" applyProtection="1">
      <alignment horizontal="center" vertical="center"/>
      <protection locked="0"/>
    </xf>
    <xf numFmtId="0" fontId="19" fillId="13" borderId="13" xfId="1" applyFont="1" applyFill="1" applyBorder="1" applyAlignment="1" applyProtection="1">
      <alignment horizontal="center" vertical="center"/>
      <protection locked="0"/>
    </xf>
    <xf numFmtId="0" fontId="19" fillId="13" borderId="14" xfId="1" applyFont="1" applyFill="1" applyBorder="1" applyAlignment="1" applyProtection="1">
      <alignment horizontal="center" vertical="center"/>
      <protection locked="0"/>
    </xf>
    <xf numFmtId="0" fontId="21" fillId="0" borderId="0" xfId="0" applyFont="1" applyAlignment="1">
      <alignment horizontal="center"/>
    </xf>
    <xf numFmtId="0" fontId="47" fillId="0" borderId="0" xfId="0" applyFont="1" applyAlignment="1">
      <alignment horizontal="center" vertical="top"/>
    </xf>
    <xf numFmtId="0" fontId="47" fillId="29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6" fillId="8" borderId="0" xfId="0" applyFont="1" applyFill="1" applyAlignment="1">
      <alignment horizontal="center" vertical="center" wrapText="1"/>
    </xf>
    <xf numFmtId="44" fontId="31" fillId="19" borderId="0" xfId="0" applyNumberFormat="1" applyFont="1" applyFill="1" applyAlignment="1">
      <alignment horizontal="center" vertical="center"/>
    </xf>
    <xf numFmtId="0" fontId="47" fillId="4" borderId="0" xfId="0" applyFont="1" applyFill="1" applyAlignment="1">
      <alignment horizontal="center" vertical="center"/>
    </xf>
    <xf numFmtId="44" fontId="46" fillId="8" borderId="0" xfId="0" applyNumberFormat="1" applyFont="1" applyFill="1" applyAlignment="1">
      <alignment horizontal="center" vertical="center" wrapText="1"/>
    </xf>
    <xf numFmtId="44" fontId="23" fillId="8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3">
    <cellStyle name="Hyperlink" xfId="1" builtinId="8"/>
    <cellStyle name="Normal" xfId="0" builtinId="0"/>
    <cellStyle name="Normálna 2" xfId="2" xr:uid="{E84651AB-C16F-422E-A94E-46DAA4DE73A5}"/>
  </cellStyles>
  <dxfs count="181">
    <dxf>
      <numFmt numFmtId="164" formatCode="#,##0.00\ &quot;€&quot;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sz val="11"/>
      </font>
    </dxf>
    <dxf>
      <font>
        <sz val="14"/>
      </font>
    </dxf>
    <dxf>
      <font>
        <sz val="14"/>
      </font>
    </dxf>
    <dxf>
      <alignment wrapText="1" readingOrder="0"/>
    </dxf>
    <dxf>
      <alignment wrapText="1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fill>
        <gradientFill degree="90">
          <stop position="0">
            <color theme="0"/>
          </stop>
          <stop position="1">
            <color theme="1" tint="0.25098422193060094"/>
          </stop>
        </gradientFill>
      </fill>
    </dxf>
    <dxf>
      <fill>
        <gradientFill degree="90">
          <stop position="0">
            <color theme="0"/>
          </stop>
          <stop position="1">
            <color theme="1" tint="0.25098422193060094"/>
          </stop>
        </gradientFill>
      </fill>
    </dxf>
    <dxf>
      <font>
        <sz val="12"/>
      </font>
    </dxf>
    <dxf>
      <font>
        <sz val="12"/>
      </font>
    </dxf>
    <dxf>
      <font>
        <sz val="16"/>
      </font>
    </dxf>
    <dxf>
      <font>
        <sz val="16"/>
      </font>
    </dxf>
    <dxf>
      <fill>
        <gradientFill degree="90">
          <stop position="0">
            <color theme="0"/>
          </stop>
          <stop position="1">
            <color theme="1"/>
          </stop>
        </gradientFill>
      </fill>
    </dxf>
    <dxf>
      <fill>
        <gradientFill degree="90">
          <stop position="0">
            <color theme="0"/>
          </stop>
          <stop position="1">
            <color theme="1"/>
          </stop>
        </gradientFill>
      </fill>
    </dxf>
    <dxf>
      <fill>
        <patternFill patternType="solid">
          <bgColor theme="1"/>
        </patternFill>
      </fill>
    </dxf>
    <dxf>
      <alignment horizontal="right" readingOrder="0"/>
    </dxf>
    <dxf>
      <alignment horizontal="left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 patternType="gray0625">
          <fgColor auto="1"/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 patternType="gray0625">
          <fgColor auto="1"/>
          <bgColor rgb="FFFF0000"/>
        </patternFill>
      </fill>
    </dxf>
    <dxf>
      <fill>
        <patternFill patternType="gray0625">
          <fgColor auto="1"/>
          <bgColor rgb="FFFF0000"/>
        </patternFill>
      </fill>
    </dxf>
    <dxf>
      <fill>
        <patternFill patternType="gray0625">
          <fgColor auto="1"/>
          <bgColor rgb="FFFF0000"/>
        </patternFill>
      </fill>
    </dxf>
    <dxf>
      <fill>
        <patternFill patternType="gray0625">
          <fgColor auto="1"/>
          <bgColor rgb="FFFF0000"/>
        </patternFill>
      </fill>
    </dxf>
    <dxf>
      <fill>
        <patternFill patternType="gray0625">
          <fgColor auto="1"/>
          <bgColor rgb="FFFF0000"/>
        </patternFill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gray0625">
          <bgColor rgb="FFFF0000"/>
        </patternFill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gray0625">
          <bgColor rgb="FFFF0000"/>
        </patternFill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gray0625">
          <bgColor rgb="FFFF0000"/>
        </patternFill>
      </fill>
    </dxf>
    <dxf>
      <fill>
        <patternFill patternType="lightTrellis"/>
      </fill>
    </dxf>
    <dxf>
      <fill>
        <patternFill patternType="gray0625">
          <bgColor rgb="FFFF0000"/>
        </patternFill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gray0625">
          <bgColor rgb="FFFF0000"/>
        </patternFill>
      </fill>
    </dxf>
    <dxf>
      <fill>
        <patternFill patternType="lightTrellis"/>
      </fill>
    </dxf>
    <dxf>
      <fill>
        <patternFill patternType="gray0625">
          <bgColor rgb="FFFF0000"/>
        </patternFill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gray0625">
          <bgColor rgb="FFFF0000"/>
        </patternFill>
      </fill>
    </dxf>
    <dxf>
      <fill>
        <patternFill patternType="lightTrellis"/>
      </fill>
    </dxf>
    <dxf>
      <fill>
        <patternFill patternType="gray0625">
          <bgColor rgb="FFFF0000"/>
        </patternFill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gray0625">
          <fgColor auto="1"/>
          <bgColor rgb="FFFF0000"/>
        </patternFill>
      </fill>
    </dxf>
    <dxf>
      <fill>
        <patternFill patternType="lightTrellis">
          <bgColor theme="0"/>
        </patternFill>
      </fill>
    </dxf>
    <dxf>
      <fill>
        <patternFill patternType="gray0625">
          <fgColor auto="1"/>
          <bgColor rgb="FFFF0000"/>
        </patternFill>
      </fill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horizontal="left" readingOrder="0"/>
    </dxf>
    <dxf>
      <alignment horizontal="right" readingOrder="0"/>
    </dxf>
    <dxf>
      <fill>
        <patternFill patternType="solid">
          <bgColor theme="1"/>
        </patternFill>
      </fill>
    </dxf>
    <dxf>
      <fill>
        <gradientFill degree="90">
          <stop position="0">
            <color theme="0"/>
          </stop>
          <stop position="1">
            <color theme="1"/>
          </stop>
        </gradientFill>
      </fill>
    </dxf>
    <dxf>
      <fill>
        <gradientFill degree="90">
          <stop position="0">
            <color theme="0"/>
          </stop>
          <stop position="1">
            <color theme="1"/>
          </stop>
        </gradientFill>
      </fill>
    </dxf>
    <dxf>
      <font>
        <sz val="16"/>
      </font>
    </dxf>
    <dxf>
      <font>
        <sz val="16"/>
      </font>
    </dxf>
    <dxf>
      <font>
        <sz val="12"/>
      </font>
    </dxf>
    <dxf>
      <font>
        <sz val="12"/>
      </font>
    </dxf>
    <dxf>
      <fill>
        <gradientFill degree="90">
          <stop position="0">
            <color theme="0"/>
          </stop>
          <stop position="1">
            <color theme="1" tint="0.25098422193060094"/>
          </stop>
        </gradientFill>
      </fill>
    </dxf>
    <dxf>
      <fill>
        <gradientFill degree="90">
          <stop position="0">
            <color theme="0"/>
          </stop>
          <stop position="1">
            <color theme="1" tint="0.25098422193060094"/>
          </stop>
        </gradientFill>
      </fill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font>
        <sz val="14"/>
      </font>
    </dxf>
    <dxf>
      <font>
        <sz val="14"/>
      </font>
    </dxf>
    <dxf>
      <font>
        <sz val="11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164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scheme val="none"/>
      </font>
      <fill>
        <patternFill patternType="solid">
          <fgColor indexed="64"/>
          <bgColor theme="8" tint="-0.49998474074526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Verdana"/>
        <scheme val="none"/>
      </font>
      <fill>
        <patternFill patternType="solid">
          <fgColor indexed="64"/>
          <bgColor theme="8" tint="-0.49998474074526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Verdana"/>
        <scheme val="none"/>
      </font>
      <fill>
        <patternFill patternType="solid">
          <fgColor indexed="64"/>
          <bgColor theme="8" tint="-0.49998474074526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scheme val="none"/>
      </font>
      <fill>
        <patternFill patternType="solid">
          <fgColor indexed="64"/>
          <bgColor theme="8" tint="-0.49998474074526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scheme val="none"/>
      </font>
      <fill>
        <patternFill patternType="solid">
          <fgColor indexed="64"/>
          <bgColor theme="8" tint="-0.49998474074526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numFmt numFmtId="164" formatCode="#,##0.00\ &quot;€&quot;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numFmt numFmtId="164" formatCode="#,##0.00\ &quot;€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outline="0">
        <right style="medium">
          <color indexed="64"/>
        </righ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numFmt numFmtId="19" formatCode="d/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numFmt numFmtId="19" formatCode="d/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numFmt numFmtId="19" formatCode="d/m/yyyy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numFmt numFmtId="164" formatCode="#,##0.00\ &quot;€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64" formatCode="#,##0.00\ &quot;€&quot;"/>
      <fill>
        <gradientFill degree="45">
          <stop position="0">
            <color theme="0"/>
          </stop>
          <stop position="1">
            <color rgb="FFFF0000"/>
          </stop>
        </gradientFill>
      </fill>
      <alignment horizontal="center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numFmt numFmtId="164" formatCode="#,##0.00\ &quot;€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numFmt numFmtId="164" formatCode="#,##0.00\ &quot;€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numFmt numFmtId="19" formatCode="d/m/yyyy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numFmt numFmtId="164" formatCode="#,##0.00\ &quot;€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numFmt numFmtId="19" formatCode="d/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numFmt numFmtId="19" formatCode="d/m/yyyy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numFmt numFmtId="164" formatCode="#,##0.00\ &quot;€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64" formatCode="#,##0.00\ &quot;€&quot;"/>
      <fill>
        <gradientFill degree="45">
          <stop position="0">
            <color theme="0"/>
          </stop>
          <stop position="1">
            <color rgb="FFFF0000"/>
          </stop>
        </gradient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numFmt numFmtId="164" formatCode="#,##0.00\ &quot;€&quot;"/>
      <fill>
        <patternFill patternType="none">
          <fgColor indexed="64"/>
          <bgColor indexed="65"/>
        </patternFill>
      </fill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numFmt numFmtId="164" formatCode="#,##0.00\ &quot;€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numFmt numFmtId="164" formatCode="#,##0.00\ &quot;€&quot;"/>
      <fill>
        <patternFill patternType="none">
          <fgColor indexed="64"/>
          <bgColor indexed="65"/>
        </patternFill>
      </fill>
      <border diagonalUp="0" diagonalDown="0">
        <left style="medium">
          <color indexed="64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numFmt numFmtId="164" formatCode="#,##0.00\ &quot;€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numFmt numFmtId="164" formatCode="#,##0.00\ &quot;€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numFmt numFmtId="164" formatCode="#,##0.00\ &quot;€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numFmt numFmtId="165" formatCode="dd/mm/yy;@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numFmt numFmtId="164" formatCode="#,##0.00\ &quot;€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64" formatCode="#,##0.00\ &quot;€&quot;"/>
      <fill>
        <gradientFill degree="45">
          <stop position="0">
            <color theme="0"/>
          </stop>
          <stop position="1">
            <color rgb="FFFF0000"/>
          </stop>
        </gradient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  <protection locked="0" hidden="0"/>
    </dxf>
  </dxfs>
  <tableStyles count="0" defaultTableStyle="TableStyleMedium2" defaultPivotStyle="PivotStyleLight16"/>
  <colors>
    <mruColors>
      <color rgb="FFFF8B8B"/>
      <color rgb="FF00CC66"/>
      <color rgb="FFFF7C80"/>
      <color rgb="FFCC0066"/>
      <color rgb="FF990033"/>
      <color rgb="FFFF3F3F"/>
      <color rgb="FFED2323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Z&#225;soby a majetok'!A1"/><Relationship Id="rId2" Type="http://schemas.openxmlformats.org/officeDocument/2006/relationships/image" Target="../media/image1.png"/><Relationship Id="rId1" Type="http://schemas.openxmlformats.org/officeDocument/2006/relationships/hyperlink" Target="#'Poh&#318;ad&#225;vky a z&#225;v&#228;zky'!A1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Pr&#237;jmy a v&#253;davky'!A1"/><Relationship Id="rId2" Type="http://schemas.openxmlformats.org/officeDocument/2006/relationships/image" Target="../media/image2.png"/><Relationship Id="rId1" Type="http://schemas.openxmlformats.org/officeDocument/2006/relationships/hyperlink" Target="#'Z&#225;soby a majetok'!A1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Pr&#237;jmy a v&#253;davky'!A1"/><Relationship Id="rId2" Type="http://schemas.openxmlformats.org/officeDocument/2006/relationships/image" Target="../media/image1.png"/><Relationship Id="rId1" Type="http://schemas.openxmlformats.org/officeDocument/2006/relationships/hyperlink" Target="#'Poh&#318;ad&#225;vky a z&#225;v&#228;zky'!A1"/><Relationship Id="rId4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323850</xdr:colOff>
      <xdr:row>0</xdr:row>
      <xdr:rowOff>0</xdr:rowOff>
    </xdr:from>
    <xdr:to>
      <xdr:col>11</xdr:col>
      <xdr:colOff>799919</xdr:colOff>
      <xdr:row>1</xdr:row>
      <xdr:rowOff>95224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01450" y="0"/>
          <a:ext cx="1447619" cy="209524"/>
        </a:xfrm>
        <a:prstGeom prst="rect">
          <a:avLst/>
        </a:prstGeom>
      </xdr:spPr>
    </xdr:pic>
    <xdr:clientData/>
  </xdr:twoCellAnchor>
  <xdr:twoCellAnchor editAs="oneCell">
    <xdr:from>
      <xdr:col>11</xdr:col>
      <xdr:colOff>866775</xdr:colOff>
      <xdr:row>0</xdr:row>
      <xdr:rowOff>0</xdr:rowOff>
    </xdr:from>
    <xdr:to>
      <xdr:col>13</xdr:col>
      <xdr:colOff>55879</xdr:colOff>
      <xdr:row>1</xdr:row>
      <xdr:rowOff>95224</xdr:rowOff>
    </xdr:to>
    <xdr:pic>
      <xdr:nvPicPr>
        <xdr:cNvPr id="4" name="Pictur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115925" y="0"/>
          <a:ext cx="1200000" cy="2095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295275</xdr:colOff>
      <xdr:row>0</xdr:row>
      <xdr:rowOff>0</xdr:rowOff>
    </xdr:from>
    <xdr:to>
      <xdr:col>15</xdr:col>
      <xdr:colOff>9375</xdr:colOff>
      <xdr:row>1</xdr:row>
      <xdr:rowOff>104749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30275" y="0"/>
          <a:ext cx="1200000" cy="209524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</xdr:colOff>
      <xdr:row>0</xdr:row>
      <xdr:rowOff>9525</xdr:rowOff>
    </xdr:from>
    <xdr:to>
      <xdr:col>13</xdr:col>
      <xdr:colOff>85576</xdr:colOff>
      <xdr:row>1</xdr:row>
      <xdr:rowOff>114274</xdr:rowOff>
    </xdr:to>
    <xdr:pic>
      <xdr:nvPicPr>
        <xdr:cNvPr id="4" name="Pictur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049125" y="9525"/>
          <a:ext cx="1190476" cy="2095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457200</xdr:colOff>
      <xdr:row>0</xdr:row>
      <xdr:rowOff>0</xdr:rowOff>
    </xdr:from>
    <xdr:to>
      <xdr:col>14</xdr:col>
      <xdr:colOff>9344</xdr:colOff>
      <xdr:row>1</xdr:row>
      <xdr:rowOff>104749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39675" y="0"/>
          <a:ext cx="1447619" cy="209524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190500</xdr:colOff>
      <xdr:row>0</xdr:row>
      <xdr:rowOff>9525</xdr:rowOff>
    </xdr:from>
    <xdr:to>
      <xdr:col>11</xdr:col>
      <xdr:colOff>418951</xdr:colOff>
      <xdr:row>1</xdr:row>
      <xdr:rowOff>114274</xdr:rowOff>
    </xdr:to>
    <xdr:pic>
      <xdr:nvPicPr>
        <xdr:cNvPr id="4" name="Pictur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772900" y="9525"/>
          <a:ext cx="1190476" cy="2095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1457325</xdr:colOff>
          <xdr:row>9</xdr:row>
          <xdr:rowOff>152400</xdr:rowOff>
        </xdr:from>
        <xdr:to>
          <xdr:col>5</xdr:col>
          <xdr:colOff>190500</xdr:colOff>
          <xdr:row>20</xdr:row>
          <xdr:rowOff>190500</xdr:rowOff>
        </xdr:to>
        <xdr:sp macro="" textlink="">
          <xdr:nvSpPr>
            <xdr:cNvPr id="6146" name="Object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6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Bednárik, Peter" refreshedDate="45964.702781944441" createdVersion="5" refreshedVersion="8" minRefreshableVersion="3" recordCount="110" xr:uid="{00000000-000A-0000-FFFF-FFFF04000000}">
  <cacheSource type="worksheet">
    <worksheetSource name="PV"/>
  </cacheSource>
  <cacheFields count="12">
    <cacheField name="Dátum" numFmtId="165">
      <sharedItems containsNonDate="0" containsDate="1" containsString="0" containsBlank="1" minDate="2024-12-31T00:00:00" maxDate="2025-11-04T00:00:00"/>
    </cacheField>
    <cacheField name="Číslo dokladu" numFmtId="0">
      <sharedItems containsBlank="1" containsMixedTypes="1" containsNumber="1" containsInteger="1" minValue="1" maxValue="107"/>
    </cacheField>
    <cacheField name="Druh dokladu" numFmtId="49">
      <sharedItems containsBlank="1"/>
    </cacheField>
    <cacheField name="Pokladňa / Banka / ID" numFmtId="49">
      <sharedItems containsBlank="1"/>
    </cacheField>
    <cacheField name="Popis transakcie" numFmtId="49">
      <sharedItems containsBlank="1" count="43">
        <s v="PN - Úroky"/>
        <s v="VN - Priebežná položka - výdaj"/>
        <s v="PN - Priebežná položka - príjem"/>
        <s v="VN - Osobná spotreba"/>
        <s v="PD - Nájomné"/>
        <s v="PZ - Zálohové platby"/>
        <s v="VD - Zálohová platba za elektriku"/>
        <s v="VD - Zálohová platba za uživanie bytu"/>
        <s v="VD - Zálohová platba za NP"/>
        <s v="PZ - Vyúčtovanie"/>
        <s v="VD - Vyúčtovanie zálohových platieb"/>
        <s v="VD - Nákup - zhodnotenie nehnuteľnosti"/>
        <s v="VD - Daň z nehnutelnosti"/>
        <m/>
        <s v="VDZ - Odpisy"/>
        <s v="PN - Peňažná kaucia" u="1"/>
        <s v="VD - Znalecký posudok" u="1"/>
        <s v="VD - Poistenie nehnuteľnosti" u="1"/>
        <s v="VD - Inzerát - hľadanie nájomníka" u="1"/>
        <s v="VD - Vyúčtovanie elektriky - nedoplatok" u="1"/>
        <s v="VD - Inštalatérske práce" u="1"/>
        <s v="VD - Komunálny odpad" u="1"/>
        <s v="VN - Vrátenie peňažnej kaucie" u="1"/>
        <s v="PD - Zmluvná pokuta" u="1"/>
        <s v="VD - Koncesionárske poplatky" u="1"/>
        <s v="VD - Tepovanie gauča" u="1"/>
        <s v="PD - Použitie peňažnej kaucie" u="1"/>
        <s v="VD - Vyúčtovanie energií nájomník - preplatok" u="1"/>
        <s v="VD - Výmena meračov tepla" u="1"/>
        <s v="VD - Provízia za sprostredkovanie prenájmu" u="1"/>
        <s v="VD - Daň z nehnuteľnosti" u="1"/>
        <s v="VD - Zálohová platba za plyn" u="1"/>
        <s v="VD - Opravy" u="1"/>
        <s v="VN - Vrátenie nepoužitej peňažnej kaucie" u="1"/>
        <s v="VD - Nákup spotrebičov" u="1"/>
        <s v="VD - Poplatok za parkovacie miesto" u="1"/>
        <s v="VD - Vyúčtovanie plynu - nedoplatok" u="1"/>
        <s v="PD - Poistné plnenie" u="1"/>
        <s v="VD - Poplatok do fondu opráv" u="1"/>
        <s v="VD - Zálohová platba na prevádzkový účet" u="1"/>
        <s v="VD - Maľovanie" u="1"/>
        <s v="VD - Poplatok za káblovú televíziu" u="1"/>
        <s v="VD - Poplatok za internet" u="1"/>
      </sharedItems>
    </cacheField>
    <cacheField name="Poznámka" numFmtId="0">
      <sharedItems containsBlank="1" count="32">
        <m/>
        <s v="Február"/>
        <s v="Január"/>
        <s v="Marec"/>
        <s v="Apríl"/>
        <s v="1. splatka"/>
        <s v="April"/>
        <s v="Máj"/>
        <s v="2. splatka"/>
        <s v="Jún"/>
        <s v="3. splatka"/>
        <s v="Jul"/>
        <s v="1. splátka"/>
        <s v="Elektrina"/>
        <s v="Jun"/>
        <s v="Aug"/>
        <s v="2. splátka"/>
        <s v="Sep"/>
        <s v="Okt"/>
        <s v="Nov"/>
        <s v="3. splátka"/>
        <s v="December"/>
        <s v="12.06.2025" u="1"/>
        <s v="na rok" u="1"/>
        <s v="1.splatka" u="1"/>
        <s v="Júl" u="1"/>
        <s v="August" u="1"/>
        <s v="September" u="1"/>
        <s v="Oktober" u="1"/>
        <s v="3.splatka" u="1"/>
        <s v="November" u="1"/>
        <s v="Byt 1" u="1"/>
      </sharedItems>
    </cacheField>
    <cacheField name="DAŇOVÁ SUMA" numFmtId="164">
      <sharedItems containsString="0" containsBlank="1" containsNumber="1" containsInteger="1" minValue="0" maxValue="580"/>
    </cacheField>
    <cacheField name="NEDAŇOVÁ SUMA" numFmtId="164">
      <sharedItems containsString="0" containsBlank="1" containsNumber="1" minValue="0.01" maxValue="1233"/>
    </cacheField>
    <cacheField name="SPOLU SUMA" numFmtId="164">
      <sharedItems containsString="0" containsBlank="1" containsNumber="1" minValue="0" maxValue="1233"/>
    </cacheField>
    <cacheField name="DAŇOVÁ SUMA." numFmtId="164">
      <sharedItems containsString="0" containsBlank="1" containsNumber="1" minValue="15.41" maxValue="5768"/>
    </cacheField>
    <cacheField name="NEDAŇOVÁ SUMA." numFmtId="164">
      <sharedItems containsString="0" containsBlank="1" containsNumber="1" minValue="350" maxValue="1730"/>
    </cacheField>
    <cacheField name="SPOLU SUMA." numFmtId="164">
      <sharedItems containsString="0" containsBlank="1" containsNumber="1" minValue="15.41" maxValue="57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d v="2025-01-01T00:00:00"/>
    <n v="1"/>
    <s v="Príjem"/>
    <s v="Banka 1"/>
    <x v="0"/>
    <x v="0"/>
    <m/>
    <n v="0.02"/>
    <n v="0.02"/>
    <m/>
    <m/>
    <m/>
  </r>
  <r>
    <d v="2025-01-04T00:00:00"/>
    <n v="2"/>
    <s v="Výdaj"/>
    <s v="Banka 1"/>
    <x v="1"/>
    <x v="0"/>
    <m/>
    <m/>
    <m/>
    <m/>
    <n v="612.48"/>
    <n v="612.48"/>
  </r>
  <r>
    <d v="2025-01-04T00:00:00"/>
    <n v="3"/>
    <s v="Príjem"/>
    <s v="Banka 2"/>
    <x v="2"/>
    <x v="0"/>
    <m/>
    <n v="612.48"/>
    <n v="612.48"/>
    <m/>
    <m/>
    <m/>
  </r>
  <r>
    <d v="2025-01-04T00:00:00"/>
    <n v="4"/>
    <s v="Výdaj"/>
    <s v="Banka 2"/>
    <x v="3"/>
    <x v="0"/>
    <m/>
    <m/>
    <m/>
    <m/>
    <n v="450"/>
    <n v="450"/>
  </r>
  <r>
    <d v="2025-01-07T00:00:00"/>
    <n v="5"/>
    <s v="Príjem"/>
    <s v="Banka 1"/>
    <x v="4"/>
    <x v="1"/>
    <n v="580"/>
    <m/>
    <n v="580"/>
    <m/>
    <m/>
    <m/>
  </r>
  <r>
    <d v="2025-01-07T00:00:00"/>
    <n v="6"/>
    <s v="Príjem"/>
    <s v="Banka 1"/>
    <x v="5"/>
    <x v="1"/>
    <n v="70"/>
    <m/>
    <n v="70"/>
    <m/>
    <m/>
    <m/>
  </r>
  <r>
    <d v="2025-02-03T00:00:00"/>
    <n v="7"/>
    <s v="Výdaj"/>
    <s v="Banka 2"/>
    <x v="6"/>
    <x v="2"/>
    <m/>
    <m/>
    <m/>
    <n v="23.15"/>
    <m/>
    <n v="23.15"/>
  </r>
  <r>
    <d v="2025-02-03T00:00:00"/>
    <n v="8"/>
    <s v="Výdaj"/>
    <s v="Banka 2"/>
    <x v="7"/>
    <x v="2"/>
    <m/>
    <m/>
    <m/>
    <n v="123.92"/>
    <m/>
    <n v="123.92"/>
  </r>
  <r>
    <d v="2025-02-03T00:00:00"/>
    <n v="9"/>
    <s v="Výdaj"/>
    <s v="Banka 2"/>
    <x v="8"/>
    <x v="2"/>
    <m/>
    <m/>
    <m/>
    <n v="15.41"/>
    <m/>
    <n v="15.41"/>
  </r>
  <r>
    <d v="2025-02-01T00:00:00"/>
    <n v="10"/>
    <s v="Príjem"/>
    <s v="Banka 1"/>
    <x v="0"/>
    <x v="0"/>
    <m/>
    <n v="0.02"/>
    <n v="0.02"/>
    <m/>
    <m/>
    <m/>
  </r>
  <r>
    <d v="2025-02-03T00:00:00"/>
    <n v="11"/>
    <s v="Výdaj"/>
    <s v="Banka 1"/>
    <x v="1"/>
    <x v="0"/>
    <m/>
    <m/>
    <m/>
    <m/>
    <n v="612.48"/>
    <n v="612.48"/>
  </r>
  <r>
    <d v="2025-02-03T00:00:00"/>
    <n v="12"/>
    <s v="Príjem"/>
    <s v="Banka 2"/>
    <x v="2"/>
    <x v="0"/>
    <m/>
    <n v="612.48"/>
    <n v="612.48"/>
    <m/>
    <m/>
    <m/>
  </r>
  <r>
    <d v="2025-02-03T00:00:00"/>
    <n v="13"/>
    <s v="Výdaj"/>
    <s v="Banka 2"/>
    <x v="6"/>
    <x v="1"/>
    <m/>
    <m/>
    <m/>
    <n v="23.15"/>
    <m/>
    <n v="23.15"/>
  </r>
  <r>
    <d v="2025-02-03T00:00:00"/>
    <n v="14"/>
    <s v="Výdaj"/>
    <s v="Banka 2"/>
    <x v="7"/>
    <x v="1"/>
    <m/>
    <m/>
    <m/>
    <n v="123.92"/>
    <m/>
    <n v="123.92"/>
  </r>
  <r>
    <d v="2025-02-03T00:00:00"/>
    <n v="15"/>
    <s v="Výdaj"/>
    <s v="Banka 2"/>
    <x v="8"/>
    <x v="1"/>
    <m/>
    <m/>
    <m/>
    <n v="15.41"/>
    <m/>
    <n v="15.41"/>
  </r>
  <r>
    <d v="2025-02-03T00:00:00"/>
    <n v="16"/>
    <s v="Výdaj"/>
    <s v="Banka 2"/>
    <x v="3"/>
    <x v="0"/>
    <m/>
    <m/>
    <m/>
    <m/>
    <n v="450"/>
    <n v="450"/>
  </r>
  <r>
    <d v="2025-02-05T00:00:00"/>
    <n v="17"/>
    <s v="Príjem"/>
    <s v="Banka 1"/>
    <x v="4"/>
    <x v="3"/>
    <n v="580"/>
    <m/>
    <n v="580"/>
    <m/>
    <m/>
    <m/>
  </r>
  <r>
    <d v="2025-02-05T00:00:00"/>
    <n v="18"/>
    <s v="Príjem"/>
    <s v="Banka 1"/>
    <x v="5"/>
    <x v="3"/>
    <n v="70"/>
    <m/>
    <n v="70"/>
    <m/>
    <m/>
    <m/>
  </r>
  <r>
    <d v="2025-03-01T00:00:00"/>
    <n v="19"/>
    <s v="Príjem"/>
    <s v="Banka 1"/>
    <x v="0"/>
    <x v="0"/>
    <m/>
    <n v="0.02"/>
    <n v="0.02"/>
    <m/>
    <m/>
    <m/>
  </r>
  <r>
    <d v="2025-03-03T00:00:00"/>
    <n v="20"/>
    <s v="Výdaj"/>
    <s v="Banka 1"/>
    <x v="1"/>
    <x v="0"/>
    <m/>
    <m/>
    <m/>
    <m/>
    <n v="617.74"/>
    <n v="617.74"/>
  </r>
  <r>
    <d v="2025-03-03T00:00:00"/>
    <n v="21"/>
    <s v="Príjem"/>
    <s v="Banka 2"/>
    <x v="2"/>
    <x v="0"/>
    <m/>
    <n v="617.74"/>
    <n v="617.74"/>
    <m/>
    <m/>
    <m/>
  </r>
  <r>
    <d v="2025-03-03T00:00:00"/>
    <n v="22"/>
    <s v="Výdaj"/>
    <s v="Banka 2"/>
    <x v="6"/>
    <x v="3"/>
    <m/>
    <m/>
    <m/>
    <n v="23.15"/>
    <m/>
    <n v="23.15"/>
  </r>
  <r>
    <d v="2025-03-03T00:00:00"/>
    <n v="23"/>
    <s v="Výdaj"/>
    <s v="Banka 2"/>
    <x v="7"/>
    <x v="3"/>
    <m/>
    <m/>
    <m/>
    <n v="126.87"/>
    <m/>
    <n v="126.87"/>
  </r>
  <r>
    <d v="2025-03-03T00:00:00"/>
    <n v="24"/>
    <s v="Výdaj"/>
    <s v="Banka 2"/>
    <x v="8"/>
    <x v="3"/>
    <m/>
    <m/>
    <m/>
    <n v="15.72"/>
    <m/>
    <n v="15.72"/>
  </r>
  <r>
    <d v="2025-03-03T00:00:00"/>
    <n v="25"/>
    <s v="Výdaj"/>
    <s v="Banka 2"/>
    <x v="3"/>
    <x v="0"/>
    <m/>
    <m/>
    <m/>
    <m/>
    <n v="450"/>
    <n v="450"/>
  </r>
  <r>
    <d v="2025-03-05T00:00:00"/>
    <n v="26"/>
    <s v="Príjem"/>
    <s v="Banka 1"/>
    <x v="4"/>
    <x v="4"/>
    <n v="580"/>
    <m/>
    <n v="580"/>
    <m/>
    <m/>
    <m/>
  </r>
  <r>
    <d v="2025-03-05T00:00:00"/>
    <n v="27"/>
    <s v="Príjem"/>
    <s v="Banka 1"/>
    <x v="5"/>
    <x v="4"/>
    <n v="70"/>
    <m/>
    <n v="70"/>
    <m/>
    <m/>
    <m/>
  </r>
  <r>
    <d v="2025-03-13T00:00:00"/>
    <s v="28"/>
    <s v="Príjem"/>
    <s v="Banka 1"/>
    <x v="9"/>
    <x v="5"/>
    <n v="120"/>
    <m/>
    <n v="120"/>
    <m/>
    <m/>
    <m/>
  </r>
  <r>
    <d v="2025-04-01T00:00:00"/>
    <s v="29"/>
    <s v="Príjem"/>
    <s v="Banka 1"/>
    <x v="0"/>
    <x v="0"/>
    <m/>
    <n v="0.02"/>
    <n v="0.02"/>
    <m/>
    <m/>
    <m/>
  </r>
  <r>
    <d v="2025-04-03T00:00:00"/>
    <n v="30"/>
    <s v="Výdaj"/>
    <s v="Banka 1"/>
    <x v="1"/>
    <x v="0"/>
    <m/>
    <m/>
    <m/>
    <m/>
    <n v="956.78"/>
    <n v="956.78"/>
  </r>
  <r>
    <d v="2025-04-03T00:00:00"/>
    <n v="31"/>
    <s v="Príjem"/>
    <s v="Banka 2"/>
    <x v="2"/>
    <x v="0"/>
    <m/>
    <n v="956.78"/>
    <n v="956.78"/>
    <m/>
    <m/>
    <m/>
  </r>
  <r>
    <d v="2025-04-03T00:00:00"/>
    <n v="32"/>
    <s v="Výdaj"/>
    <s v="Banka 2"/>
    <x v="6"/>
    <x v="6"/>
    <m/>
    <m/>
    <m/>
    <n v="24.2"/>
    <m/>
    <n v="24.2"/>
  </r>
  <r>
    <d v="2025-04-03T00:00:00"/>
    <n v="33"/>
    <s v="Výdaj"/>
    <s v="Banka 2"/>
    <x v="7"/>
    <x v="6"/>
    <m/>
    <m/>
    <m/>
    <n v="126.87"/>
    <m/>
    <n v="126.87"/>
  </r>
  <r>
    <d v="2025-04-03T00:00:00"/>
    <n v="34"/>
    <s v="Výdaj"/>
    <s v="Banka 2"/>
    <x v="8"/>
    <x v="6"/>
    <m/>
    <m/>
    <m/>
    <n v="15.72"/>
    <m/>
    <n v="15.72"/>
  </r>
  <r>
    <d v="2025-04-03T00:00:00"/>
    <n v="35"/>
    <s v="Výdaj"/>
    <s v="Banka 2"/>
    <x v="3"/>
    <x v="0"/>
    <m/>
    <m/>
    <m/>
    <m/>
    <n v="350"/>
    <n v="350"/>
  </r>
  <r>
    <d v="2025-04-03T00:00:00"/>
    <n v="36"/>
    <s v="Výdaj"/>
    <s v="Banka 2"/>
    <x v="10"/>
    <x v="0"/>
    <m/>
    <m/>
    <m/>
    <n v="439.99"/>
    <m/>
    <n v="439.99"/>
  </r>
  <r>
    <d v="2025-04-03T00:00:00"/>
    <n v="37"/>
    <s v="Príjem"/>
    <s v="Banka 1"/>
    <x v="4"/>
    <x v="7"/>
    <n v="580"/>
    <m/>
    <n v="580"/>
    <m/>
    <m/>
    <m/>
  </r>
  <r>
    <d v="2025-04-03T00:00:00"/>
    <n v="38"/>
    <s v="Príjem"/>
    <s v="Banka 1"/>
    <x v="5"/>
    <x v="7"/>
    <n v="120"/>
    <m/>
    <n v="120"/>
    <m/>
    <m/>
    <m/>
  </r>
  <r>
    <d v="2025-04-03T00:00:00"/>
    <n v="39"/>
    <s v="Príjem"/>
    <s v="Banka 1"/>
    <x v="9"/>
    <x v="8"/>
    <n v="120"/>
    <m/>
    <n v="120"/>
    <m/>
    <m/>
    <m/>
  </r>
  <r>
    <d v="2025-04-28T00:00:00"/>
    <n v="40"/>
    <s v="Výdaj"/>
    <s v="Banka 2"/>
    <x v="11"/>
    <x v="0"/>
    <m/>
    <m/>
    <m/>
    <m/>
    <n v="1730"/>
    <n v="1730"/>
  </r>
  <r>
    <d v="2025-05-01T00:00:00"/>
    <n v="41"/>
    <s v="Príjem"/>
    <s v="Banka 1"/>
    <x v="0"/>
    <x v="0"/>
    <m/>
    <n v="0.02"/>
    <n v="0.02"/>
    <m/>
    <m/>
    <m/>
  </r>
  <r>
    <d v="2025-05-01T00:00:00"/>
    <n v="42"/>
    <s v="Výdaj"/>
    <s v="Banka 1"/>
    <x v="1"/>
    <x v="0"/>
    <m/>
    <m/>
    <m/>
    <m/>
    <n v="1233"/>
    <n v="1233"/>
  </r>
  <r>
    <d v="2025-05-01T00:00:00"/>
    <n v="43"/>
    <s v="Príjem"/>
    <s v="Banka 2"/>
    <x v="2"/>
    <x v="0"/>
    <m/>
    <n v="1233"/>
    <n v="1233"/>
    <m/>
    <m/>
    <m/>
  </r>
  <r>
    <d v="2025-05-01T00:00:00"/>
    <n v="44"/>
    <s v="Výdaj"/>
    <s v="Banka 2"/>
    <x v="7"/>
    <x v="0"/>
    <m/>
    <m/>
    <m/>
    <n v="153"/>
    <m/>
    <n v="153"/>
  </r>
  <r>
    <d v="2025-05-01T00:00:00"/>
    <n v="45"/>
    <s v="Výdaj"/>
    <s v="Banka 2"/>
    <x v="8"/>
    <x v="0"/>
    <m/>
    <m/>
    <m/>
    <n v="15.72"/>
    <m/>
    <n v="15.72"/>
  </r>
  <r>
    <d v="2025-05-01T00:00:00"/>
    <n v="46"/>
    <s v="Výdaj"/>
    <s v="Banka 2"/>
    <x v="3"/>
    <x v="0"/>
    <m/>
    <m/>
    <m/>
    <m/>
    <n v="350"/>
    <n v="350"/>
  </r>
  <r>
    <d v="2025-05-06T00:00:00"/>
    <n v="47"/>
    <s v="Príjem"/>
    <s v="Banka 1"/>
    <x v="4"/>
    <x v="9"/>
    <n v="580"/>
    <m/>
    <n v="580"/>
    <m/>
    <m/>
    <m/>
  </r>
  <r>
    <d v="2025-05-06T00:00:00"/>
    <n v="48"/>
    <s v="Príjem"/>
    <s v="Banka 1"/>
    <x v="5"/>
    <x v="9"/>
    <n v="120"/>
    <m/>
    <n v="120"/>
    <m/>
    <m/>
    <m/>
  </r>
  <r>
    <d v="2025-05-06T00:00:00"/>
    <n v="49"/>
    <s v="Príjem"/>
    <s v="Banka 1"/>
    <x v="9"/>
    <x v="10"/>
    <n v="120"/>
    <m/>
    <n v="120"/>
    <m/>
    <m/>
    <m/>
  </r>
  <r>
    <d v="2025-06-01T00:00:00"/>
    <n v="50"/>
    <s v="Príjem"/>
    <s v="Banka 1"/>
    <x v="0"/>
    <x v="0"/>
    <m/>
    <n v="0.01"/>
    <n v="0.01"/>
    <m/>
    <m/>
    <m/>
  </r>
  <r>
    <d v="2025-06-04T00:00:00"/>
    <n v="51"/>
    <s v="Príjem"/>
    <s v="Banka 1"/>
    <x v="4"/>
    <x v="11"/>
    <n v="580"/>
    <m/>
    <n v="580"/>
    <m/>
    <m/>
    <m/>
  </r>
  <r>
    <d v="2025-06-04T00:00:00"/>
    <n v="52"/>
    <s v="Príjem"/>
    <s v="Banka 1"/>
    <x v="5"/>
    <x v="11"/>
    <n v="120"/>
    <m/>
    <n v="120"/>
    <m/>
    <m/>
    <m/>
  </r>
  <r>
    <d v="2025-06-09T00:00:00"/>
    <n v="53"/>
    <s v="Výdaj"/>
    <s v="Banka 2"/>
    <x v="12"/>
    <x v="12"/>
    <m/>
    <m/>
    <m/>
    <n v="46.09"/>
    <m/>
    <n v="46.09"/>
  </r>
  <r>
    <d v="2025-06-09T00:00:00"/>
    <n v="54"/>
    <s v="Výdaj"/>
    <s v="Banka 2"/>
    <x v="10"/>
    <x v="13"/>
    <m/>
    <m/>
    <m/>
    <n v="71.069999999999993"/>
    <m/>
    <n v="71.069999999999993"/>
  </r>
  <r>
    <d v="2025-06-09T00:00:00"/>
    <n v="55"/>
    <s v="Výdaj"/>
    <s v="Banka 1"/>
    <x v="1"/>
    <x v="0"/>
    <m/>
    <m/>
    <m/>
    <m/>
    <n v="1167.3800000000001"/>
    <n v="1167.3800000000001"/>
  </r>
  <r>
    <d v="2025-06-09T00:00:00"/>
    <n v="56"/>
    <s v="Príjem"/>
    <s v="Banka 2"/>
    <x v="2"/>
    <x v="0"/>
    <m/>
    <n v="1167.3800000000001"/>
    <n v="1167.3800000000001"/>
    <m/>
    <m/>
    <m/>
  </r>
  <r>
    <d v="2025-06-09T00:00:00"/>
    <n v="57"/>
    <s v="Výdaj"/>
    <s v="Banka 2"/>
    <x v="6"/>
    <x v="14"/>
    <m/>
    <m/>
    <m/>
    <n v="31.5"/>
    <m/>
    <n v="31.5"/>
  </r>
  <r>
    <d v="2025-06-09T00:00:00"/>
    <n v="58"/>
    <s v="Výdaj"/>
    <s v="Banka 2"/>
    <x v="7"/>
    <x v="0"/>
    <m/>
    <m/>
    <m/>
    <n v="153"/>
    <m/>
    <n v="153"/>
  </r>
  <r>
    <d v="2025-06-09T00:00:00"/>
    <n v="59"/>
    <s v="Výdaj"/>
    <s v="Banka 2"/>
    <x v="8"/>
    <x v="0"/>
    <m/>
    <m/>
    <m/>
    <n v="15.72"/>
    <m/>
    <n v="15.72"/>
  </r>
  <r>
    <d v="2025-06-09T00:00:00"/>
    <n v="60"/>
    <s v="Výdaj"/>
    <s v="Banka 2"/>
    <x v="3"/>
    <x v="0"/>
    <m/>
    <m/>
    <m/>
    <m/>
    <n v="350"/>
    <n v="350"/>
  </r>
  <r>
    <d v="2025-07-03T00:00:00"/>
    <n v="61"/>
    <s v="Príjem"/>
    <s v="Banka 1"/>
    <x v="4"/>
    <x v="15"/>
    <n v="580"/>
    <m/>
    <n v="580"/>
    <m/>
    <m/>
    <m/>
  </r>
  <r>
    <d v="2025-07-03T00:00:00"/>
    <n v="62"/>
    <s v="Príjem"/>
    <s v="Banka 1"/>
    <x v="5"/>
    <x v="15"/>
    <n v="120"/>
    <m/>
    <n v="120"/>
    <m/>
    <m/>
    <m/>
  </r>
  <r>
    <d v="2025-07-03T00:00:00"/>
    <n v="63"/>
    <s v="Príjem"/>
    <s v="Banka 1"/>
    <x v="0"/>
    <x v="0"/>
    <m/>
    <n v="0.01"/>
    <n v="0.01"/>
    <m/>
    <m/>
    <m/>
  </r>
  <r>
    <d v="2025-07-14T00:00:00"/>
    <n v="64"/>
    <s v="Výdaj"/>
    <s v="Banka 1"/>
    <x v="1"/>
    <x v="0"/>
    <m/>
    <m/>
    <m/>
    <m/>
    <n v="1063.94"/>
    <n v="1063.94"/>
  </r>
  <r>
    <d v="2025-07-14T00:00:00"/>
    <n v="65"/>
    <s v="Príjem"/>
    <s v="Banka 2"/>
    <x v="2"/>
    <x v="0"/>
    <m/>
    <n v="1063.94"/>
    <n v="1063.94"/>
    <m/>
    <m/>
    <m/>
  </r>
  <r>
    <d v="2025-07-14T00:00:00"/>
    <n v="66"/>
    <s v="Výdaj"/>
    <s v="Banka 2"/>
    <x v="6"/>
    <x v="11"/>
    <m/>
    <m/>
    <m/>
    <n v="31.5"/>
    <m/>
    <n v="31.5"/>
  </r>
  <r>
    <d v="2025-07-14T00:00:00"/>
    <n v="67"/>
    <s v="Výdaj"/>
    <s v="Banka 2"/>
    <x v="7"/>
    <x v="0"/>
    <m/>
    <m/>
    <m/>
    <n v="153"/>
    <m/>
    <n v="153"/>
  </r>
  <r>
    <d v="2025-07-14T00:00:00"/>
    <n v="68"/>
    <s v="Výdaj"/>
    <s v="Banka 2"/>
    <x v="8"/>
    <x v="0"/>
    <m/>
    <m/>
    <m/>
    <n v="15.72"/>
    <m/>
    <n v="15.72"/>
  </r>
  <r>
    <d v="2025-07-14T00:00:00"/>
    <n v="69"/>
    <s v="Výdaj"/>
    <s v="Banka 2"/>
    <x v="3"/>
    <x v="0"/>
    <m/>
    <m/>
    <m/>
    <m/>
    <n v="350"/>
    <n v="350"/>
  </r>
  <r>
    <d v="2025-08-01T00:00:00"/>
    <n v="70"/>
    <s v="Príjem"/>
    <s v="Banka 1"/>
    <x v="0"/>
    <x v="0"/>
    <m/>
    <n v="0.01"/>
    <n v="0.01"/>
    <m/>
    <m/>
    <m/>
  </r>
  <r>
    <d v="2025-08-07T00:00:00"/>
    <n v="71"/>
    <s v="Výdaj"/>
    <s v="Banka 1"/>
    <x v="1"/>
    <x v="0"/>
    <m/>
    <m/>
    <m/>
    <m/>
    <n v="596.29999999999995"/>
    <n v="596.29999999999995"/>
  </r>
  <r>
    <d v="2025-08-07T00:00:00"/>
    <n v="72"/>
    <s v="Príjem"/>
    <s v="Banka 2"/>
    <x v="2"/>
    <x v="0"/>
    <m/>
    <n v="596.29999999999995"/>
    <n v="596.29999999999995"/>
    <m/>
    <m/>
    <m/>
  </r>
  <r>
    <d v="2025-08-07T00:00:00"/>
    <n v="73"/>
    <s v="Výdaj"/>
    <s v="Banka 2"/>
    <x v="6"/>
    <x v="15"/>
    <m/>
    <m/>
    <m/>
    <n v="31.5"/>
    <m/>
    <n v="31.5"/>
  </r>
  <r>
    <d v="2025-08-07T00:00:00"/>
    <n v="74"/>
    <s v="Výdaj"/>
    <s v="Banka 2"/>
    <x v="7"/>
    <x v="0"/>
    <m/>
    <m/>
    <m/>
    <n v="153"/>
    <m/>
    <n v="153"/>
  </r>
  <r>
    <d v="2025-08-07T00:00:00"/>
    <n v="75"/>
    <s v="Výdaj"/>
    <s v="Banka 2"/>
    <x v="8"/>
    <x v="0"/>
    <m/>
    <m/>
    <m/>
    <n v="15.72"/>
    <m/>
    <n v="15.72"/>
  </r>
  <r>
    <d v="2025-08-07T00:00:00"/>
    <n v="76"/>
    <s v="Výdaj"/>
    <s v="Banka 2"/>
    <x v="3"/>
    <x v="0"/>
    <m/>
    <m/>
    <m/>
    <m/>
    <n v="350"/>
    <n v="350"/>
  </r>
  <r>
    <d v="2025-08-07T00:00:00"/>
    <n v="77"/>
    <s v="Výdaj"/>
    <s v="Banka 2"/>
    <x v="12"/>
    <x v="16"/>
    <m/>
    <m/>
    <m/>
    <n v="46.08"/>
    <m/>
    <n v="46.08"/>
  </r>
  <r>
    <d v="2025-08-08T00:00:00"/>
    <n v="78"/>
    <s v="Príjem"/>
    <s v="Banka 1"/>
    <x v="4"/>
    <x v="17"/>
    <n v="580"/>
    <m/>
    <n v="580"/>
    <m/>
    <m/>
    <m/>
  </r>
  <r>
    <d v="2025-08-08T00:00:00"/>
    <n v="79"/>
    <s v="Príjem"/>
    <s v="Banka 1"/>
    <x v="5"/>
    <x v="17"/>
    <n v="120"/>
    <m/>
    <n v="120"/>
    <m/>
    <m/>
    <m/>
  </r>
  <r>
    <d v="2025-09-01T00:00:00"/>
    <n v="80"/>
    <s v="Príjem"/>
    <s v="Banka 1"/>
    <x v="0"/>
    <x v="0"/>
    <m/>
    <n v="0.01"/>
    <n v="0.01"/>
    <m/>
    <m/>
    <m/>
  </r>
  <r>
    <d v="2025-09-03T00:00:00"/>
    <n v="81"/>
    <s v="Príjem"/>
    <s v="Banka 1"/>
    <x v="4"/>
    <x v="18"/>
    <n v="580"/>
    <m/>
    <n v="580"/>
    <m/>
    <m/>
    <m/>
  </r>
  <r>
    <d v="2025-09-03T00:00:00"/>
    <n v="82"/>
    <s v="Príjem"/>
    <s v="Banka 1"/>
    <x v="5"/>
    <x v="18"/>
    <n v="120"/>
    <m/>
    <n v="120"/>
    <m/>
    <m/>
    <m/>
  </r>
  <r>
    <d v="2025-09-03T00:00:00"/>
    <n v="83"/>
    <s v="Výdaj"/>
    <s v="Banka 1"/>
    <x v="1"/>
    <x v="0"/>
    <m/>
    <m/>
    <m/>
    <m/>
    <n v="550.22"/>
    <n v="550.22"/>
  </r>
  <r>
    <d v="2025-09-03T00:00:00"/>
    <n v="84"/>
    <s v="Príjem"/>
    <s v="Banka 2"/>
    <x v="2"/>
    <x v="0"/>
    <m/>
    <n v="550.22"/>
    <n v="550.22"/>
    <m/>
    <m/>
    <m/>
  </r>
  <r>
    <d v="2025-09-03T00:00:00"/>
    <n v="85"/>
    <s v="Výdaj"/>
    <s v="Banka 2"/>
    <x v="6"/>
    <x v="17"/>
    <m/>
    <m/>
    <m/>
    <n v="31.5"/>
    <m/>
    <n v="31.5"/>
  </r>
  <r>
    <d v="2025-09-03T00:00:00"/>
    <n v="86"/>
    <s v="Výdaj"/>
    <s v="Banka 2"/>
    <x v="7"/>
    <x v="0"/>
    <m/>
    <m/>
    <m/>
    <n v="153"/>
    <m/>
    <n v="153"/>
  </r>
  <r>
    <d v="2025-09-03T00:00:00"/>
    <n v="87"/>
    <s v="Výdaj"/>
    <s v="Banka 2"/>
    <x v="8"/>
    <x v="0"/>
    <m/>
    <m/>
    <m/>
    <n v="15.72"/>
    <m/>
    <n v="15.72"/>
  </r>
  <r>
    <d v="2025-09-03T00:00:00"/>
    <n v="88"/>
    <s v="Výdaj"/>
    <s v="Banka 2"/>
    <x v="3"/>
    <x v="0"/>
    <m/>
    <m/>
    <m/>
    <m/>
    <n v="350"/>
    <n v="350"/>
  </r>
  <r>
    <d v="2025-10-01T00:00:00"/>
    <n v="89"/>
    <s v="Príjem"/>
    <s v="Banka 1"/>
    <x v="0"/>
    <x v="0"/>
    <m/>
    <n v="0.01"/>
    <n v="0.01"/>
    <m/>
    <m/>
    <m/>
  </r>
  <r>
    <d v="2025-10-03T00:00:00"/>
    <n v="90"/>
    <s v="Príjem"/>
    <s v="Banka 1"/>
    <x v="4"/>
    <x v="19"/>
    <n v="0"/>
    <m/>
    <n v="0"/>
    <m/>
    <m/>
    <m/>
  </r>
  <r>
    <d v="2025-10-03T00:00:00"/>
    <n v="91"/>
    <s v="Príjem"/>
    <s v="Banka 1"/>
    <x v="5"/>
    <x v="19"/>
    <n v="0"/>
    <m/>
    <n v="0"/>
    <m/>
    <m/>
    <m/>
  </r>
  <r>
    <d v="2025-10-03T00:00:00"/>
    <n v="92"/>
    <s v="Výdaj"/>
    <s v="Banka 1"/>
    <x v="1"/>
    <x v="0"/>
    <m/>
    <m/>
    <m/>
    <m/>
    <n v="596.29999999999995"/>
    <n v="596.29999999999995"/>
  </r>
  <r>
    <d v="2025-10-03T00:00:00"/>
    <n v="93"/>
    <s v="Príjem"/>
    <s v="Banka 2"/>
    <x v="2"/>
    <x v="0"/>
    <m/>
    <n v="596.29999999999995"/>
    <n v="596.29999999999995"/>
    <m/>
    <m/>
    <m/>
  </r>
  <r>
    <d v="2025-10-03T00:00:00"/>
    <n v="94"/>
    <s v="Výdaj"/>
    <s v="Banka 2"/>
    <x v="6"/>
    <x v="18"/>
    <m/>
    <m/>
    <m/>
    <n v="31.5"/>
    <m/>
    <n v="31.5"/>
  </r>
  <r>
    <d v="2025-10-03T00:00:00"/>
    <n v="95"/>
    <s v="Výdaj"/>
    <s v="Banka 2"/>
    <x v="7"/>
    <x v="0"/>
    <m/>
    <m/>
    <m/>
    <n v="153"/>
    <m/>
    <n v="153"/>
  </r>
  <r>
    <d v="2025-10-03T00:00:00"/>
    <n v="96"/>
    <s v="Výdaj"/>
    <s v="Banka 2"/>
    <x v="8"/>
    <x v="0"/>
    <m/>
    <m/>
    <m/>
    <n v="15.72"/>
    <m/>
    <n v="15.72"/>
  </r>
  <r>
    <d v="2025-10-03T00:00:00"/>
    <n v="97"/>
    <s v="Výdaj"/>
    <s v="Banka 2"/>
    <x v="3"/>
    <x v="0"/>
    <m/>
    <m/>
    <m/>
    <m/>
    <n v="350"/>
    <n v="350"/>
  </r>
  <r>
    <d v="2025-10-03T00:00:00"/>
    <n v="98"/>
    <s v="Výdaj"/>
    <s v="Banka 2"/>
    <x v="12"/>
    <x v="20"/>
    <m/>
    <m/>
    <m/>
    <n v="46.08"/>
    <m/>
    <n v="46.08"/>
  </r>
  <r>
    <d v="2025-10-06T00:00:00"/>
    <n v="99"/>
    <s v="Príjem"/>
    <s v="Banka 1"/>
    <x v="4"/>
    <x v="19"/>
    <n v="580"/>
    <m/>
    <n v="580"/>
    <m/>
    <m/>
    <m/>
  </r>
  <r>
    <d v="2025-10-06T00:00:00"/>
    <n v="100"/>
    <s v="Príjem"/>
    <s v="Banka 1"/>
    <x v="5"/>
    <x v="19"/>
    <n v="120"/>
    <m/>
    <n v="120"/>
    <m/>
    <m/>
    <m/>
  </r>
  <r>
    <d v="2025-11-01T00:00:00"/>
    <n v="101"/>
    <s v="Príjem"/>
    <s v="Banka 1"/>
    <x v="0"/>
    <x v="0"/>
    <m/>
    <n v="0.01"/>
    <n v="0.01"/>
    <m/>
    <m/>
    <m/>
  </r>
  <r>
    <d v="2025-11-03T00:00:00"/>
    <n v="102"/>
    <s v="Výdaj"/>
    <s v="Banka 1"/>
    <x v="1"/>
    <x v="0"/>
    <m/>
    <m/>
    <m/>
    <m/>
    <n v="550.22"/>
    <n v="550.22"/>
  </r>
  <r>
    <d v="2025-11-03T00:00:00"/>
    <n v="103"/>
    <s v="Príjem"/>
    <s v="Banka 2"/>
    <x v="2"/>
    <x v="0"/>
    <m/>
    <n v="550.22"/>
    <n v="550.22"/>
    <m/>
    <m/>
    <m/>
  </r>
  <r>
    <d v="2025-11-03T00:00:00"/>
    <n v="104"/>
    <s v="Výdaj"/>
    <s v="Banka 2"/>
    <x v="6"/>
    <x v="19"/>
    <m/>
    <m/>
    <m/>
    <n v="31.5"/>
    <m/>
    <n v="31.5"/>
  </r>
  <r>
    <d v="2025-11-03T00:00:00"/>
    <n v="105"/>
    <s v="Výdaj"/>
    <s v="Banka 2"/>
    <x v="7"/>
    <x v="0"/>
    <m/>
    <m/>
    <m/>
    <n v="153"/>
    <m/>
    <n v="153"/>
  </r>
  <r>
    <d v="2025-11-03T00:00:00"/>
    <n v="106"/>
    <s v="Výdaj"/>
    <s v="Banka 2"/>
    <x v="8"/>
    <x v="0"/>
    <m/>
    <m/>
    <m/>
    <n v="15.72"/>
    <m/>
    <n v="15.72"/>
  </r>
  <r>
    <d v="2025-11-03T00:00:00"/>
    <n v="107"/>
    <s v="Výdaj"/>
    <s v="Banka 2"/>
    <x v="3"/>
    <x v="0"/>
    <m/>
    <m/>
    <m/>
    <m/>
    <n v="350"/>
    <n v="350"/>
  </r>
  <r>
    <m/>
    <m/>
    <m/>
    <m/>
    <x v="13"/>
    <x v="0"/>
    <m/>
    <m/>
    <m/>
    <m/>
    <m/>
    <m/>
  </r>
  <r>
    <m/>
    <m/>
    <m/>
    <m/>
    <x v="13"/>
    <x v="0"/>
    <m/>
    <m/>
    <m/>
    <m/>
    <m/>
    <m/>
  </r>
  <r>
    <d v="2024-12-31T00:00:00"/>
    <n v="100"/>
    <s v="Závierkový"/>
    <s v="Interný doklad"/>
    <x v="14"/>
    <x v="21"/>
    <m/>
    <m/>
    <m/>
    <n v="5768"/>
    <m/>
    <n v="57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 rowHeaderCaption="Druh príjmov alebo výdavkov">
  <location ref="B17:F33" firstHeaderRow="0" firstDataRow="1" firstDataCol="1"/>
  <pivotFields count="12">
    <pivotField numFmtId="14" showAll="0"/>
    <pivotField showAll="0"/>
    <pivotField showAll="0"/>
    <pivotField showAll="0"/>
    <pivotField axis="axisRow" showAll="0" sortType="descending">
      <items count="44">
        <item x="13"/>
        <item m="1" x="22"/>
        <item m="1" x="33"/>
        <item x="1"/>
        <item x="3"/>
        <item x="14"/>
        <item m="1" x="16"/>
        <item x="7"/>
        <item m="1" x="31"/>
        <item x="8"/>
        <item x="6"/>
        <item m="1" x="39"/>
        <item x="10"/>
        <item m="1" x="36"/>
        <item m="1" x="27"/>
        <item m="1" x="19"/>
        <item m="1" x="28"/>
        <item m="1" x="25"/>
        <item m="1" x="29"/>
        <item m="1" x="35"/>
        <item m="1" x="41"/>
        <item m="1" x="42"/>
        <item m="1" x="38"/>
        <item m="1" x="17"/>
        <item m="1" x="32"/>
        <item m="1" x="34"/>
        <item x="11"/>
        <item m="1" x="40"/>
        <item m="1" x="24"/>
        <item m="1" x="21"/>
        <item m="1" x="18"/>
        <item m="1" x="20"/>
        <item m="1" x="30"/>
        <item x="12"/>
        <item x="5"/>
        <item x="9"/>
        <item x="0"/>
        <item x="2"/>
        <item sd="0" m="1" x="15"/>
        <item m="1" x="23"/>
        <item m="1" x="26"/>
        <item m="1" x="37"/>
        <item sd="0" x="4"/>
        <item t="default"/>
      </items>
    </pivotField>
    <pivotField showAll="0" sortType="descending">
      <items count="33">
        <item sd="0" x="0"/>
        <item x="17"/>
        <item x="18"/>
        <item x="19"/>
        <item m="1" x="23"/>
        <item x="13"/>
        <item m="1" x="31"/>
        <item x="15"/>
        <item m="1" x="29"/>
        <item x="20"/>
        <item x="10"/>
        <item x="16"/>
        <item x="8"/>
        <item m="1" x="22"/>
        <item m="1" x="24"/>
        <item x="12"/>
        <item x="5"/>
        <item x="21"/>
        <item m="1" x="30"/>
        <item m="1" x="28"/>
        <item m="1" x="27"/>
        <item m="1" x="26"/>
        <item sd="0" m="1" x="25"/>
        <item x="11"/>
        <item x="14"/>
        <item sd="0" x="9"/>
        <item sd="0" x="7"/>
        <item x="6"/>
        <item x="4"/>
        <item x="3"/>
        <item x="1"/>
        <item x="2"/>
        <item t="default"/>
      </items>
    </pivotField>
    <pivotField dataField="1" showAll="0"/>
    <pivotField dataField="1" showAll="0"/>
    <pivotField numFmtId="164" showAll="0"/>
    <pivotField dataField="1" showAll="0"/>
    <pivotField dataField="1" showAll="0"/>
    <pivotField numFmtId="164" showAll="0"/>
  </pivotFields>
  <rowFields count="1">
    <field x="4"/>
  </rowFields>
  <rowItems count="16">
    <i>
      <x/>
    </i>
    <i>
      <x v="3"/>
    </i>
    <i>
      <x v="4"/>
    </i>
    <i>
      <x v="5"/>
    </i>
    <i>
      <x v="7"/>
    </i>
    <i>
      <x v="9"/>
    </i>
    <i>
      <x v="10"/>
    </i>
    <i>
      <x v="12"/>
    </i>
    <i>
      <x v="26"/>
    </i>
    <i>
      <x v="33"/>
    </i>
    <i>
      <x v="34"/>
    </i>
    <i>
      <x v="35"/>
    </i>
    <i>
      <x v="36"/>
    </i>
    <i>
      <x v="37"/>
    </i>
    <i>
      <x v="4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Daňové príjmy" fld="6" baseField="4" baseItem="0"/>
    <dataField name="Nedaňové príjmy" fld="7" baseField="4" baseItem="0"/>
    <dataField name="Sum of DAŇOVÁ SUMA." fld="9" baseField="0" baseItem="0"/>
    <dataField name="Sum of NEDAŇOVÁ SUMA." fld="10" baseField="0" baseItem="0"/>
  </dataFields>
  <formats count="31">
    <format dxfId="122">
      <pivotArea outline="0" collapsedLevelsAreSubtotals="1" fieldPosition="0"/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field="5" type="button" dataOnly="0" labelOnly="1" outline="0"/>
    </format>
    <format dxfId="118">
      <pivotArea dataOnly="0" labelOnly="1" grandRow="1" outline="0" fieldPosition="0"/>
    </format>
    <format dxfId="1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6">
      <pivotArea type="all" dataOnly="0" outline="0" fieldPosition="0"/>
    </format>
    <format dxfId="115">
      <pivotArea field="5" type="button" dataOnly="0" labelOnly="1" outline="0"/>
    </format>
    <format dxfId="1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3">
      <pivotArea field="5" type="button" dataOnly="0" labelOnly="1" outline="0"/>
    </format>
    <format dxfId="1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1">
      <pivotArea field="5" type="button" dataOnly="0" labelOnly="1" outline="0"/>
    </format>
    <format dxfId="1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9">
      <pivotArea field="5" type="button" dataOnly="0" labelOnly="1" outline="0"/>
    </format>
    <format dxfId="10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7">
      <pivotArea field="5" type="button" dataOnly="0" labelOnly="1" outline="0"/>
    </format>
    <format dxfId="10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5">
      <pivotArea outline="0" collapsedLevelsAreSubtotals="1" fieldPosition="0"/>
    </format>
    <format dxfId="104">
      <pivotArea dataOnly="0" labelOnly="1" grandRow="1" outline="0" fieldPosition="0"/>
    </format>
    <format dxfId="103">
      <pivotArea field="5" type="button" dataOnly="0" labelOnly="1" outline="0"/>
    </format>
    <format dxfId="10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1">
      <pivotArea field="5" type="button" dataOnly="0" labelOnly="1" outline="0"/>
    </format>
    <format dxfId="10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9">
      <pivotArea dataOnly="0" grandRow="1" axis="axisRow" fieldPosition="0"/>
    </format>
    <format dxfId="98">
      <pivotArea grandRow="1" outline="0" collapsedLevelsAreSubtotals="1" fieldPosition="0"/>
    </format>
    <format dxfId="97">
      <pivotArea dataOnly="0" labelOnly="1" grandRow="1" outline="0" fieldPosition="0"/>
    </format>
    <format dxfId="96">
      <pivotArea type="all" dataOnly="0" outline="0" fieldPosition="0"/>
    </format>
    <format dxfId="95">
      <pivotArea outline="0" collapsedLevelsAreSubtotals="1" fieldPosition="0"/>
    </format>
    <format dxfId="94">
      <pivotArea field="5" type="button" dataOnly="0" labelOnly="1" outline="0"/>
    </format>
    <format dxfId="93">
      <pivotArea dataOnly="0" labelOnly="1" grandRow="1" outline="0" fieldPosition="0"/>
    </format>
    <format dxfId="9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Dark5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PV" displayName="PV" ref="B11:M121" totalsRowShown="0" headerRowDxfId="180" dataDxfId="178" headerRowBorderDxfId="179">
  <autoFilter ref="B11:M121" xr:uid="{00000000-0009-0000-0100-000003000000}"/>
  <tableColumns count="12">
    <tableColumn id="1" xr3:uid="{00000000-0010-0000-0000-000001000000}" name="Dátum" dataDxfId="177"/>
    <tableColumn id="2" xr3:uid="{00000000-0010-0000-0000-000002000000}" name="Číslo dokladu" dataDxfId="176"/>
    <tableColumn id="3" xr3:uid="{00000000-0010-0000-0000-000003000000}" name="Druh dokladu" dataDxfId="175"/>
    <tableColumn id="4" xr3:uid="{00000000-0010-0000-0000-000004000000}" name="Pokladňa / Banka / ID" dataDxfId="174"/>
    <tableColumn id="5" xr3:uid="{00000000-0010-0000-0000-000005000000}" name="Popis transakcie" dataDxfId="173"/>
    <tableColumn id="6" xr3:uid="{00000000-0010-0000-0000-000006000000}" name="Poznámka" dataDxfId="172"/>
    <tableColumn id="7" xr3:uid="{00000000-0010-0000-0000-000007000000}" name="DAŇOVÁ SUMA" dataDxfId="171"/>
    <tableColumn id="8" xr3:uid="{00000000-0010-0000-0000-000008000000}" name="NEDAŇOVÁ SUMA" dataDxfId="170"/>
    <tableColumn id="9" xr3:uid="{00000000-0010-0000-0000-000009000000}" name="SPOLU SUMA" dataDxfId="169">
      <calculatedColumnFormula>I12+H12</calculatedColumnFormula>
    </tableColumn>
    <tableColumn id="10" xr3:uid="{00000000-0010-0000-0000-00000A000000}" name="DAŇOVÁ SUMA." dataDxfId="168"/>
    <tableColumn id="11" xr3:uid="{00000000-0010-0000-0000-00000B000000}" name="NEDAŇOVÁ SUMA." dataDxfId="167"/>
    <tableColumn id="12" xr3:uid="{00000000-0010-0000-0000-00000C000000}" name="SPOLU SUMA." dataDxfId="166">
      <calculatedColumnFormula>K12+L12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PZ" displayName="PZ" ref="C10:N25" totalsRowShown="0" headerRowDxfId="165" dataDxfId="163" headerRowBorderDxfId="164">
  <autoFilter ref="C10:N25" xr:uid="{00000000-0009-0000-0100-000004000000}"/>
  <tableColumns count="12">
    <tableColumn id="1" xr3:uid="{00000000-0010-0000-0100-000001000000}" name="Dátum evidencie" dataDxfId="162"/>
    <tableColumn id="2" xr3:uid="{00000000-0010-0000-0100-000002000000}" name="Variabilný symbol" dataDxfId="161"/>
    <tableColumn id="3" xr3:uid="{00000000-0010-0000-0100-000003000000}" name="Druh dokladu" dataDxfId="160"/>
    <tableColumn id="13" xr3:uid="{00000000-0010-0000-0100-00000D000000}" name="P/Z" dataDxfId="159">
      <calculatedColumnFormula>IF(OR(PZ[[#This Row],[Druh dokladu]]=List!$D$4,PZ[[#This Row],[Druh dokladu]]=List!$D$6,PZ[[#This Row],[Druh dokladu]]=List!$D$8),"Z","P")</calculatedColumnFormula>
    </tableColumn>
    <tableColumn id="11" xr3:uid="{00000000-0010-0000-0100-00000B000000}" name="Dátum splatnosti" dataDxfId="158"/>
    <tableColumn id="4" xr3:uid="{00000000-0010-0000-0100-000004000000}" name="Odberateľ / Dodávateľ" dataDxfId="157"/>
    <tableColumn id="12" xr3:uid="{00000000-0010-0000-0100-00000C000000}" name="Text" dataDxfId="156"/>
    <tableColumn id="5" xr3:uid="{00000000-0010-0000-0100-000005000000}" name="Poznámka" dataDxfId="155"/>
    <tableColumn id="6" xr3:uid="{00000000-0010-0000-0100-000006000000}" name="SUMA pohľ. / záväzku" dataDxfId="154"/>
    <tableColumn id="7" xr3:uid="{00000000-0010-0000-0100-000007000000}" name="Dátum inkasa / úhrady" dataDxfId="153"/>
    <tableColumn id="8" xr3:uid="{00000000-0010-0000-0100-000008000000}" name="Suma inkasa / úhrady" dataDxfId="152"/>
    <tableColumn id="9" xr3:uid="{00000000-0010-0000-0100-000009000000}" name="Nedoplatok pohľ. / záväzku" dataDxfId="151">
      <calculatedColumnFormula>PZ[[#This Row],[SUMA pohľ. / záväzku]]-PZ[[#This Row],[Suma inkasa / úhrady]]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PZ_8" displayName="PZ_8" ref="C10:L12" totalsRowShown="0" headerRowDxfId="150" dataDxfId="148" headerRowBorderDxfId="149">
  <autoFilter ref="C10:L12" xr:uid="{00000000-0009-0000-0100-000007000000}"/>
  <tableColumns count="10">
    <tableColumn id="1" xr3:uid="{00000000-0010-0000-0200-000001000000}" name="Dátum" dataDxfId="147"/>
    <tableColumn id="2" xr3:uid="{00000000-0010-0000-0200-000002000000}" name="Doklad" dataDxfId="146"/>
    <tableColumn id="3" xr3:uid="{00000000-0010-0000-0200-000003000000}" name="Zásoba alebo majetok" dataDxfId="145"/>
    <tableColumn id="11" xr3:uid="{00000000-0010-0000-0200-00000B000000}" name="Inventárne číslo" dataDxfId="144"/>
    <tableColumn id="4" xr3:uid="{00000000-0010-0000-0200-000004000000}" name="Názov" dataDxfId="143"/>
    <tableColumn id="5" xr3:uid="{00000000-0010-0000-0200-000005000000}" name="Poznámka" dataDxfId="142"/>
    <tableColumn id="12" xr3:uid="{00000000-0010-0000-0200-00000C000000}" name="Počet" dataDxfId="141"/>
    <tableColumn id="6" xr3:uid="{00000000-0010-0000-0200-000006000000}" name="Merná jednotka" dataDxfId="140"/>
    <tableColumn id="7" xr3:uid="{00000000-0010-0000-0200-000007000000}" name="Cena za jednotku" dataDxfId="139">
      <calculatedColumnFormula>-F7/40/12*12+0.33</calculatedColumnFormula>
    </tableColumn>
    <tableColumn id="8" xr3:uid="{00000000-0010-0000-0200-000008000000}" name="Peňažná suma" dataDxfId="138">
      <calculatedColumnFormula>PZ_8[[#This Row],[Cena za jednotku]]*PZ_8[[#This Row],[Počet]]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Príjem" displayName="Príjem" ref="C4:C11" totalsRowShown="0" headerRowDxfId="137" dataDxfId="136">
  <autoFilter ref="C4:C11" xr:uid="{00000000-0009-0000-0100-000001000000}"/>
  <sortState xmlns:xlrd2="http://schemas.microsoft.com/office/spreadsheetml/2017/richdata2" ref="C5:C10">
    <sortCondition ref="C5"/>
  </sortState>
  <tableColumns count="1">
    <tableColumn id="1" xr3:uid="{00000000-0010-0000-0300-000001000000}" name="Príjem" dataDxfId="135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Výdaj" displayName="Výdaj" ref="F4:F19" totalsRowShown="0" headerRowDxfId="134" dataDxfId="133">
  <autoFilter ref="F4:F19" xr:uid="{00000000-0009-0000-0100-000002000000}"/>
  <sortState xmlns:xlrd2="http://schemas.microsoft.com/office/spreadsheetml/2017/richdata2" ref="F5:F29">
    <sortCondition ref="F8"/>
  </sortState>
  <tableColumns count="1">
    <tableColumn id="1" xr3:uid="{00000000-0010-0000-0400-000001000000}" name="Výdaj" dataDxfId="132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P" displayName="P" ref="L4:L5" totalsRowShown="0" headerRowDxfId="131" dataDxfId="130">
  <autoFilter ref="L4:L5" xr:uid="{00000000-0009-0000-0100-000005000000}"/>
  <tableColumns count="1">
    <tableColumn id="1" xr3:uid="{00000000-0010-0000-0500-000001000000}" name="P" dataDxfId="129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Z" displayName="Z" ref="O4:O14" totalsRowShown="0" headerRowDxfId="128" dataDxfId="127">
  <autoFilter ref="O4:O14" xr:uid="{00000000-0009-0000-0100-000006000000}"/>
  <sortState xmlns:xlrd2="http://schemas.microsoft.com/office/spreadsheetml/2017/richdata2" ref="O5:O21">
    <sortCondition ref="O6"/>
  </sortState>
  <tableColumns count="1">
    <tableColumn id="1" xr3:uid="{00000000-0010-0000-0600-000001000000}" name="Z" dataDxfId="126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Závierkový" displayName="Závierkový" ref="I4:I5" totalsRowShown="0" headerRowDxfId="125" dataDxfId="124">
  <autoFilter ref="I4:I5" xr:uid="{00000000-0009-0000-0100-000008000000}"/>
  <tableColumns count="1">
    <tableColumn id="1" xr3:uid="{00000000-0010-0000-0700-000001000000}" name="Závierkový" dataDxfId="123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slov-lex.sk/pravne-predpisy/SK/ZZ/2003/595/20200401" TargetMode="External"/><Relationship Id="rId1" Type="http://schemas.openxmlformats.org/officeDocument/2006/relationships/hyperlink" Target="https://prenajimatelia.sk/" TargetMode="Externa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www.slov-lex.sk/pravne-predpisy/SK/ZZ/2003/595/20200401" TargetMode="External"/><Relationship Id="rId1" Type="http://schemas.openxmlformats.org/officeDocument/2006/relationships/hyperlink" Target="https://prenajimatelia.sk/" TargetMode="Externa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www.slov-lex.sk/pravne-predpisy/SK/ZZ/2003/595/20200401" TargetMode="External"/><Relationship Id="rId1" Type="http://schemas.openxmlformats.org/officeDocument/2006/relationships/hyperlink" Target="https://prenajimatelia.sk/" TargetMode="Externa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Relationship Id="rId4" Type="http://schemas.openxmlformats.org/officeDocument/2006/relationships/image" Target="../media/image4.emf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N121"/>
  <sheetViews>
    <sheetView showGridLines="0" tabSelected="1" zoomScale="85" zoomScaleNormal="85" workbookViewId="0">
      <pane ySplit="11" topLeftCell="A81" activePane="bottomLeft" state="frozen"/>
      <selection pane="bottomLeft" activeCell="B11" sqref="B10:H11"/>
    </sheetView>
  </sheetViews>
  <sheetFormatPr defaultColWidth="9.140625" defaultRowHeight="15" customHeight="1" x14ac:dyDescent="0.2"/>
  <cols>
    <col min="1" max="1" width="3.42578125" style="40" customWidth="1"/>
    <col min="2" max="2" width="14.5703125" style="40" bestFit="1" customWidth="1"/>
    <col min="3" max="3" width="17.28515625" style="40" customWidth="1"/>
    <col min="4" max="4" width="12.140625" style="40" customWidth="1"/>
    <col min="5" max="5" width="17.140625" style="40" bestFit="1" customWidth="1"/>
    <col min="6" max="6" width="45.7109375" style="40" bestFit="1" customWidth="1"/>
    <col min="7" max="7" width="17.140625" style="52" customWidth="1"/>
    <col min="8" max="12" width="14.5703125" style="42" customWidth="1"/>
    <col min="13" max="13" width="15.42578125" style="42" customWidth="1"/>
    <col min="14" max="14" width="1.7109375" style="40" customWidth="1"/>
    <col min="15" max="16384" width="9.140625" style="40"/>
  </cols>
  <sheetData>
    <row r="1" spans="1:14" s="20" customFormat="1" ht="8.25" customHeight="1" x14ac:dyDescent="0.2">
      <c r="G1" s="76"/>
      <c r="H1" s="77"/>
      <c r="I1" s="77"/>
      <c r="J1" s="77"/>
      <c r="K1" s="77"/>
      <c r="L1" s="77"/>
      <c r="M1" s="77"/>
    </row>
    <row r="2" spans="1:14" s="79" customFormat="1" ht="39" customHeight="1" x14ac:dyDescent="0.3">
      <c r="A2" s="78"/>
      <c r="B2" s="302" t="s">
        <v>38</v>
      </c>
      <c r="C2" s="302"/>
      <c r="D2" s="302"/>
      <c r="E2" s="302"/>
      <c r="F2" s="75"/>
      <c r="G2" s="75" t="str">
        <f>List!G5</f>
        <v/>
      </c>
      <c r="H2" s="303" t="str">
        <f>List!G6</f>
        <v/>
      </c>
      <c r="I2" s="303"/>
      <c r="J2" s="304" t="str">
        <f>List!G7</f>
        <v/>
      </c>
      <c r="K2" s="304"/>
      <c r="L2" s="304"/>
      <c r="M2" s="304"/>
      <c r="N2" s="78"/>
    </row>
    <row r="3" spans="1:14" s="20" customFormat="1" ht="24.75" x14ac:dyDescent="0.2">
      <c r="A3" s="18"/>
      <c r="B3" s="305" t="s">
        <v>149</v>
      </c>
      <c r="C3" s="305"/>
      <c r="D3" s="305"/>
      <c r="E3" s="305"/>
      <c r="F3" s="158" t="s">
        <v>39</v>
      </c>
      <c r="G3" s="125"/>
      <c r="H3" s="125"/>
      <c r="I3" s="125"/>
      <c r="J3" s="125"/>
      <c r="K3" s="125"/>
      <c r="L3" s="125"/>
      <c r="M3" s="125"/>
      <c r="N3" s="18"/>
    </row>
    <row r="4" spans="1:14" s="20" customFormat="1" ht="21.75" customHeight="1" x14ac:dyDescent="0.2">
      <c r="A4" s="18"/>
      <c r="B4" s="21"/>
      <c r="C4" s="21"/>
      <c r="D4" s="21"/>
      <c r="E4" s="21"/>
      <c r="F4" s="18"/>
      <c r="G4" s="49"/>
      <c r="H4" s="24"/>
      <c r="I4" s="24"/>
      <c r="J4" s="24"/>
      <c r="K4" s="24"/>
      <c r="L4" s="24"/>
      <c r="M4" s="19"/>
      <c r="N4" s="18"/>
    </row>
    <row r="5" spans="1:14" s="31" customFormat="1" ht="16.5" customHeight="1" x14ac:dyDescent="0.2">
      <c r="A5" s="33"/>
      <c r="B5" s="21"/>
      <c r="C5" s="306" t="s">
        <v>40</v>
      </c>
      <c r="D5" s="307"/>
      <c r="E5" s="27">
        <v>0</v>
      </c>
      <c r="F5" s="118" t="s">
        <v>126</v>
      </c>
      <c r="G5" s="209">
        <f>'Prehľad MaZ'!F19</f>
        <v>0</v>
      </c>
      <c r="H5" s="24"/>
      <c r="I5" s="30"/>
      <c r="J5" s="50" t="s">
        <v>41</v>
      </c>
      <c r="K5" s="50"/>
      <c r="L5" s="209">
        <f>SUMIFS(J:J,F:F,"PN - Priebežná položka - príjem")</f>
        <v>8556.840000000002</v>
      </c>
      <c r="M5" s="308">
        <f>L5-L6</f>
        <v>0</v>
      </c>
      <c r="N5" s="33"/>
    </row>
    <row r="6" spans="1:14" s="31" customFormat="1" ht="16.5" customHeight="1" x14ac:dyDescent="0.2">
      <c r="A6" s="33"/>
      <c r="B6" s="21"/>
      <c r="C6" s="306" t="s">
        <v>42</v>
      </c>
      <c r="D6" s="307"/>
      <c r="E6" s="27">
        <v>1957.76</v>
      </c>
      <c r="F6" s="118" t="s">
        <v>127</v>
      </c>
      <c r="G6" s="209">
        <f>'Prehľad MaZ'!F25</f>
        <v>611.07999999999993</v>
      </c>
      <c r="H6" s="24"/>
      <c r="I6" s="30"/>
      <c r="J6" s="50" t="s">
        <v>43</v>
      </c>
      <c r="K6" s="50"/>
      <c r="L6" s="209">
        <f>SUMIFS(M:M,F:F,"VN - Priebežná položka - výdaj")</f>
        <v>8556.840000000002</v>
      </c>
      <c r="M6" s="309"/>
      <c r="N6" s="33"/>
    </row>
    <row r="7" spans="1:14" s="31" customFormat="1" ht="16.5" customHeight="1" x14ac:dyDescent="0.2">
      <c r="A7" s="33"/>
      <c r="B7" s="21"/>
      <c r="C7" s="294" t="s">
        <v>44</v>
      </c>
      <c r="D7" s="295"/>
      <c r="E7" s="27">
        <v>0</v>
      </c>
      <c r="F7" s="120" t="s">
        <v>128</v>
      </c>
      <c r="G7" s="209">
        <f>'Prehľad MaZ'!F31</f>
        <v>0</v>
      </c>
      <c r="H7" s="24"/>
      <c r="I7" s="30"/>
      <c r="J7" s="34"/>
      <c r="K7" s="34"/>
      <c r="L7" s="34"/>
      <c r="M7" s="34"/>
      <c r="N7" s="33"/>
    </row>
    <row r="8" spans="1:14" s="31" customFormat="1" ht="16.5" customHeight="1" thickBot="1" x14ac:dyDescent="0.25">
      <c r="A8" s="33"/>
      <c r="B8" s="21"/>
      <c r="C8" s="310">
        <v>45383</v>
      </c>
      <c r="D8" s="311"/>
      <c r="E8" s="121"/>
      <c r="F8" s="25">
        <v>45657</v>
      </c>
      <c r="G8" s="121"/>
      <c r="H8" s="24"/>
      <c r="I8" s="30"/>
      <c r="J8" s="34"/>
      <c r="K8" s="34"/>
      <c r="L8" s="34"/>
      <c r="M8" s="34"/>
      <c r="N8" s="33"/>
    </row>
    <row r="9" spans="1:14" s="20" customFormat="1" ht="21.75" customHeight="1" thickBot="1" x14ac:dyDescent="0.25">
      <c r="A9" s="35"/>
      <c r="B9" s="35"/>
      <c r="C9" s="35"/>
      <c r="D9" s="35"/>
      <c r="E9" s="35"/>
      <c r="F9" s="35"/>
      <c r="G9" s="51"/>
      <c r="H9" s="296" t="s">
        <v>45</v>
      </c>
      <c r="I9" s="297"/>
      <c r="J9" s="298"/>
      <c r="K9" s="299" t="s">
        <v>46</v>
      </c>
      <c r="L9" s="300"/>
      <c r="M9" s="301"/>
      <c r="N9" s="35"/>
    </row>
    <row r="10" spans="1:14" s="20" customFormat="1" ht="21.75" customHeight="1" thickBot="1" x14ac:dyDescent="0.25">
      <c r="A10" s="35"/>
      <c r="B10" s="35"/>
      <c r="C10" s="35"/>
      <c r="D10" s="35"/>
      <c r="E10" s="35"/>
      <c r="F10" s="35"/>
      <c r="G10" s="51"/>
      <c r="H10" s="140">
        <f>SUBTOTAL(9,PV[DAŇOVÁ SUMA])</f>
        <v>7210</v>
      </c>
      <c r="I10" s="141">
        <f>SUBTOTAL(9,PV[NEDAŇOVÁ SUMA])</f>
        <v>8557.0000000000018</v>
      </c>
      <c r="J10" s="142">
        <f>SUBTOTAL(9,PV[SPOLU SUMA])</f>
        <v>15767</v>
      </c>
      <c r="K10" s="135">
        <f>SUBTOTAL(9,PV[DAŇOVÁ SUMA.])</f>
        <v>8444.84</v>
      </c>
      <c r="L10" s="136">
        <f>SUBTOTAL(9,PV[NEDAŇOVÁ SUMA.])</f>
        <v>14436.839999999998</v>
      </c>
      <c r="M10" s="137">
        <f>SUBTOTAL(9,PV[SPOLU SUMA.])</f>
        <v>22881.679999999993</v>
      </c>
      <c r="N10" s="35"/>
    </row>
    <row r="11" spans="1:14" s="39" customFormat="1" ht="26.25" thickBot="1" x14ac:dyDescent="0.25">
      <c r="A11" s="48"/>
      <c r="B11" s="106" t="s">
        <v>47</v>
      </c>
      <c r="C11" s="106" t="s">
        <v>48</v>
      </c>
      <c r="D11" s="106" t="s">
        <v>49</v>
      </c>
      <c r="E11" s="106" t="s">
        <v>50</v>
      </c>
      <c r="F11" s="107" t="s">
        <v>51</v>
      </c>
      <c r="G11" s="107" t="s">
        <v>52</v>
      </c>
      <c r="H11" s="138" t="s">
        <v>64</v>
      </c>
      <c r="I11" s="139" t="s">
        <v>65</v>
      </c>
      <c r="J11" s="138" t="s">
        <v>66</v>
      </c>
      <c r="K11" s="104" t="s">
        <v>67</v>
      </c>
      <c r="L11" s="108" t="s">
        <v>68</v>
      </c>
      <c r="M11" s="105" t="s">
        <v>69</v>
      </c>
      <c r="N11" s="131"/>
    </row>
    <row r="12" spans="1:14" ht="15" customHeight="1" x14ac:dyDescent="0.2">
      <c r="B12" s="221">
        <v>45658</v>
      </c>
      <c r="C12" s="176">
        <v>1</v>
      </c>
      <c r="D12" s="212" t="s">
        <v>53</v>
      </c>
      <c r="E12" s="211" t="s">
        <v>58</v>
      </c>
      <c r="F12" s="213" t="s">
        <v>183</v>
      </c>
      <c r="G12" s="214"/>
      <c r="H12" s="215"/>
      <c r="I12" s="216">
        <v>0.02</v>
      </c>
      <c r="J12" s="216">
        <v>0.02</v>
      </c>
      <c r="K12" s="215"/>
      <c r="L12" s="216"/>
      <c r="M12" s="218"/>
    </row>
    <row r="13" spans="1:14" ht="15" customHeight="1" x14ac:dyDescent="0.2">
      <c r="B13" s="219">
        <v>45661</v>
      </c>
      <c r="C13" s="176">
        <f t="shared" ref="C13:C50" si="0">C12+1</f>
        <v>2</v>
      </c>
      <c r="D13" s="99" t="s">
        <v>57</v>
      </c>
      <c r="E13" s="109" t="s">
        <v>58</v>
      </c>
      <c r="F13" s="110" t="s">
        <v>135</v>
      </c>
      <c r="G13" s="214"/>
      <c r="H13" s="215"/>
      <c r="I13" s="216"/>
      <c r="J13" s="217"/>
      <c r="K13" s="215"/>
      <c r="L13" s="111">
        <v>612.48</v>
      </c>
      <c r="M13" s="218">
        <f>K13+L13</f>
        <v>612.48</v>
      </c>
    </row>
    <row r="14" spans="1:14" ht="15" customHeight="1" x14ac:dyDescent="0.2">
      <c r="B14" s="219">
        <v>45661</v>
      </c>
      <c r="C14" s="176">
        <f t="shared" si="0"/>
        <v>3</v>
      </c>
      <c r="D14" s="99" t="s">
        <v>53</v>
      </c>
      <c r="E14" s="109" t="s">
        <v>59</v>
      </c>
      <c r="F14" s="110" t="s">
        <v>131</v>
      </c>
      <c r="G14" s="214"/>
      <c r="H14" s="215"/>
      <c r="I14" s="216">
        <v>612.48</v>
      </c>
      <c r="J14" s="217">
        <f>I14+H14</f>
        <v>612.48</v>
      </c>
      <c r="K14" s="215"/>
      <c r="L14" s="216"/>
      <c r="M14" s="218"/>
    </row>
    <row r="15" spans="1:14" ht="15" customHeight="1" x14ac:dyDescent="0.2">
      <c r="B15" s="219">
        <v>45661</v>
      </c>
      <c r="C15" s="176">
        <f t="shared" si="0"/>
        <v>4</v>
      </c>
      <c r="D15" s="99" t="s">
        <v>57</v>
      </c>
      <c r="E15" s="109" t="s">
        <v>59</v>
      </c>
      <c r="F15" s="110" t="s">
        <v>182</v>
      </c>
      <c r="H15" s="100"/>
      <c r="I15" s="111"/>
      <c r="J15" s="101"/>
      <c r="K15" s="100"/>
      <c r="L15" s="111">
        <v>450</v>
      </c>
      <c r="M15" s="103">
        <f>K15+L15</f>
        <v>450</v>
      </c>
    </row>
    <row r="16" spans="1:14" ht="15" customHeight="1" x14ac:dyDescent="0.2">
      <c r="B16" s="221">
        <v>45664</v>
      </c>
      <c r="C16" s="176">
        <f t="shared" si="0"/>
        <v>5</v>
      </c>
      <c r="D16" s="212" t="s">
        <v>53</v>
      </c>
      <c r="E16" s="211" t="s">
        <v>58</v>
      </c>
      <c r="F16" s="110" t="s">
        <v>132</v>
      </c>
      <c r="G16" s="52" t="s">
        <v>188</v>
      </c>
      <c r="H16" s="100">
        <v>580</v>
      </c>
      <c r="I16" s="111"/>
      <c r="J16" s="162">
        <f t="shared" ref="J16:J17" si="1">I16+H16</f>
        <v>580</v>
      </c>
      <c r="K16" s="215"/>
      <c r="L16" s="216"/>
      <c r="M16" s="218"/>
    </row>
    <row r="17" spans="2:13" ht="15" customHeight="1" x14ac:dyDescent="0.2">
      <c r="B17" s="221">
        <v>45664</v>
      </c>
      <c r="C17" s="176">
        <f t="shared" si="0"/>
        <v>6</v>
      </c>
      <c r="D17" s="99" t="s">
        <v>53</v>
      </c>
      <c r="E17" s="109" t="s">
        <v>58</v>
      </c>
      <c r="F17" s="110" t="s">
        <v>165</v>
      </c>
      <c r="G17" s="52" t="s">
        <v>188</v>
      </c>
      <c r="H17" s="100">
        <v>70</v>
      </c>
      <c r="I17" s="111"/>
      <c r="J17" s="162">
        <f t="shared" si="1"/>
        <v>70</v>
      </c>
      <c r="K17" s="215"/>
      <c r="L17" s="216"/>
      <c r="M17" s="218"/>
    </row>
    <row r="18" spans="2:13" ht="15" customHeight="1" x14ac:dyDescent="0.2">
      <c r="B18" s="219">
        <v>45691</v>
      </c>
      <c r="C18" s="176">
        <f t="shared" si="0"/>
        <v>7</v>
      </c>
      <c r="D18" s="99" t="s">
        <v>57</v>
      </c>
      <c r="E18" s="109" t="s">
        <v>59</v>
      </c>
      <c r="F18" s="110" t="s">
        <v>137</v>
      </c>
      <c r="G18" s="52" t="s">
        <v>187</v>
      </c>
      <c r="H18" s="100"/>
      <c r="I18" s="111"/>
      <c r="J18" s="101"/>
      <c r="K18" s="102">
        <v>23.15</v>
      </c>
      <c r="L18" s="216"/>
      <c r="M18" s="103">
        <v>23.15</v>
      </c>
    </row>
    <row r="19" spans="2:13" ht="15" customHeight="1" x14ac:dyDescent="0.2">
      <c r="B19" s="219">
        <v>45691</v>
      </c>
      <c r="C19" s="176">
        <f t="shared" si="0"/>
        <v>8</v>
      </c>
      <c r="D19" s="99" t="s">
        <v>57</v>
      </c>
      <c r="E19" s="109" t="s">
        <v>59</v>
      </c>
      <c r="F19" s="110" t="s">
        <v>168</v>
      </c>
      <c r="G19" s="52" t="s">
        <v>187</v>
      </c>
      <c r="H19" s="100"/>
      <c r="I19" s="111"/>
      <c r="J19" s="101"/>
      <c r="K19" s="111">
        <v>123.92</v>
      </c>
      <c r="L19" s="216"/>
      <c r="M19" s="103">
        <v>123.92</v>
      </c>
    </row>
    <row r="20" spans="2:13" ht="15" customHeight="1" x14ac:dyDescent="0.2">
      <c r="B20" s="219">
        <v>45691</v>
      </c>
      <c r="C20" s="176">
        <f t="shared" si="0"/>
        <v>9</v>
      </c>
      <c r="D20" s="99" t="s">
        <v>57</v>
      </c>
      <c r="E20" s="109" t="s">
        <v>59</v>
      </c>
      <c r="F20" s="110" t="s">
        <v>169</v>
      </c>
      <c r="G20" s="52" t="s">
        <v>187</v>
      </c>
      <c r="H20" s="100"/>
      <c r="I20" s="111"/>
      <c r="J20" s="101"/>
      <c r="K20" s="111">
        <v>15.41</v>
      </c>
      <c r="L20" s="216"/>
      <c r="M20" s="103">
        <v>15.41</v>
      </c>
    </row>
    <row r="21" spans="2:13" ht="15" customHeight="1" x14ac:dyDescent="0.2">
      <c r="B21" s="219">
        <v>45689</v>
      </c>
      <c r="C21" s="176">
        <f t="shared" si="0"/>
        <v>10</v>
      </c>
      <c r="D21" s="212" t="s">
        <v>53</v>
      </c>
      <c r="E21" s="211" t="s">
        <v>58</v>
      </c>
      <c r="F21" s="213" t="s">
        <v>183</v>
      </c>
      <c r="G21" s="214"/>
      <c r="H21" s="215"/>
      <c r="I21" s="216">
        <v>0.02</v>
      </c>
      <c r="J21" s="217">
        <f>I21+H21</f>
        <v>0.02</v>
      </c>
      <c r="K21" s="215"/>
      <c r="L21" s="216"/>
      <c r="M21" s="218"/>
    </row>
    <row r="22" spans="2:13" ht="15" customHeight="1" x14ac:dyDescent="0.2">
      <c r="B22" s="219">
        <v>45691</v>
      </c>
      <c r="C22" s="176">
        <f t="shared" si="0"/>
        <v>11</v>
      </c>
      <c r="D22" s="99" t="s">
        <v>57</v>
      </c>
      <c r="E22" s="109" t="s">
        <v>58</v>
      </c>
      <c r="F22" s="110" t="s">
        <v>135</v>
      </c>
      <c r="G22" s="214"/>
      <c r="H22" s="215"/>
      <c r="I22" s="216"/>
      <c r="J22" s="217"/>
      <c r="K22" s="215"/>
      <c r="L22" s="111">
        <v>612.48</v>
      </c>
      <c r="M22" s="218">
        <f>K22+L22</f>
        <v>612.48</v>
      </c>
    </row>
    <row r="23" spans="2:13" ht="15" customHeight="1" x14ac:dyDescent="0.2">
      <c r="B23" s="219">
        <v>45691</v>
      </c>
      <c r="C23" s="176">
        <f t="shared" si="0"/>
        <v>12</v>
      </c>
      <c r="D23" s="99" t="s">
        <v>53</v>
      </c>
      <c r="E23" s="109" t="s">
        <v>59</v>
      </c>
      <c r="F23" s="110" t="s">
        <v>131</v>
      </c>
      <c r="G23" s="214"/>
      <c r="H23" s="215"/>
      <c r="I23" s="216">
        <v>612.48</v>
      </c>
      <c r="J23" s="217">
        <f>I23+H23</f>
        <v>612.48</v>
      </c>
      <c r="K23" s="215"/>
      <c r="L23" s="216"/>
      <c r="M23" s="218"/>
    </row>
    <row r="24" spans="2:13" ht="15" customHeight="1" x14ac:dyDescent="0.2">
      <c r="B24" s="219">
        <v>45691</v>
      </c>
      <c r="C24" s="176">
        <f t="shared" si="0"/>
        <v>13</v>
      </c>
      <c r="D24" s="99" t="s">
        <v>57</v>
      </c>
      <c r="E24" s="109" t="s">
        <v>59</v>
      </c>
      <c r="F24" s="110" t="s">
        <v>137</v>
      </c>
      <c r="G24" s="52" t="s">
        <v>188</v>
      </c>
      <c r="H24" s="100"/>
      <c r="I24" s="111"/>
      <c r="J24" s="101"/>
      <c r="K24" s="102">
        <v>23.15</v>
      </c>
      <c r="L24" s="216"/>
      <c r="M24" s="103">
        <v>23.15</v>
      </c>
    </row>
    <row r="25" spans="2:13" ht="15" customHeight="1" x14ac:dyDescent="0.2">
      <c r="B25" s="219">
        <v>45691</v>
      </c>
      <c r="C25" s="176">
        <f t="shared" si="0"/>
        <v>14</v>
      </c>
      <c r="D25" s="99" t="s">
        <v>57</v>
      </c>
      <c r="E25" s="109" t="s">
        <v>59</v>
      </c>
      <c r="F25" s="110" t="s">
        <v>168</v>
      </c>
      <c r="G25" s="52" t="s">
        <v>188</v>
      </c>
      <c r="H25" s="100"/>
      <c r="I25" s="111"/>
      <c r="J25" s="101"/>
      <c r="K25" s="111">
        <v>123.92</v>
      </c>
      <c r="L25" s="216"/>
      <c r="M25" s="103">
        <v>123.92</v>
      </c>
    </row>
    <row r="26" spans="2:13" ht="15" customHeight="1" x14ac:dyDescent="0.2">
      <c r="B26" s="219">
        <v>45691</v>
      </c>
      <c r="C26" s="176">
        <f t="shared" si="0"/>
        <v>15</v>
      </c>
      <c r="D26" s="99" t="s">
        <v>57</v>
      </c>
      <c r="E26" s="109" t="s">
        <v>59</v>
      </c>
      <c r="F26" s="110" t="s">
        <v>169</v>
      </c>
      <c r="G26" s="52" t="s">
        <v>188</v>
      </c>
      <c r="H26" s="100"/>
      <c r="I26" s="111"/>
      <c r="J26" s="101"/>
      <c r="K26" s="111">
        <v>15.41</v>
      </c>
      <c r="L26" s="216"/>
      <c r="M26" s="103">
        <v>15.41</v>
      </c>
    </row>
    <row r="27" spans="2:13" ht="15" customHeight="1" x14ac:dyDescent="0.2">
      <c r="B27" s="219">
        <v>45691</v>
      </c>
      <c r="C27" s="176">
        <f t="shared" si="0"/>
        <v>16</v>
      </c>
      <c r="D27" s="99" t="s">
        <v>57</v>
      </c>
      <c r="E27" s="109" t="s">
        <v>59</v>
      </c>
      <c r="F27" s="161" t="s">
        <v>182</v>
      </c>
      <c r="H27" s="100"/>
      <c r="I27" s="111"/>
      <c r="J27" s="101"/>
      <c r="K27" s="102"/>
      <c r="L27" s="111">
        <v>450</v>
      </c>
      <c r="M27" s="103">
        <v>450</v>
      </c>
    </row>
    <row r="28" spans="2:13" ht="15" customHeight="1" x14ac:dyDescent="0.2">
      <c r="B28" s="219">
        <v>45693</v>
      </c>
      <c r="C28" s="176">
        <f t="shared" si="0"/>
        <v>17</v>
      </c>
      <c r="D28" s="99" t="s">
        <v>53</v>
      </c>
      <c r="E28" s="109" t="s">
        <v>58</v>
      </c>
      <c r="F28" s="110" t="s">
        <v>132</v>
      </c>
      <c r="G28" s="52" t="s">
        <v>189</v>
      </c>
      <c r="H28" s="100">
        <v>580</v>
      </c>
      <c r="I28" s="111"/>
      <c r="J28" s="100">
        <v>580</v>
      </c>
      <c r="K28" s="100"/>
      <c r="L28" s="111"/>
      <c r="M28" s="103"/>
    </row>
    <row r="29" spans="2:13" ht="15" customHeight="1" x14ac:dyDescent="0.2">
      <c r="B29" s="219">
        <v>45693</v>
      </c>
      <c r="C29" s="176">
        <f t="shared" si="0"/>
        <v>18</v>
      </c>
      <c r="D29" s="99" t="s">
        <v>53</v>
      </c>
      <c r="E29" s="109" t="s">
        <v>58</v>
      </c>
      <c r="F29" s="110" t="s">
        <v>165</v>
      </c>
      <c r="G29" s="52" t="s">
        <v>189</v>
      </c>
      <c r="H29" s="100">
        <v>70</v>
      </c>
      <c r="I29" s="111"/>
      <c r="J29" s="100">
        <v>70</v>
      </c>
      <c r="K29" s="100"/>
      <c r="L29" s="111"/>
      <c r="M29" s="103"/>
    </row>
    <row r="30" spans="2:13" ht="15" customHeight="1" x14ac:dyDescent="0.2">
      <c r="B30" s="219">
        <v>45717</v>
      </c>
      <c r="C30" s="176">
        <f t="shared" si="0"/>
        <v>19</v>
      </c>
      <c r="D30" s="212" t="s">
        <v>53</v>
      </c>
      <c r="E30" s="211" t="s">
        <v>58</v>
      </c>
      <c r="F30" s="213" t="s">
        <v>183</v>
      </c>
      <c r="G30" s="214"/>
      <c r="H30" s="215"/>
      <c r="I30" s="216">
        <v>0.02</v>
      </c>
      <c r="J30" s="217">
        <f>I30+H30</f>
        <v>0.02</v>
      </c>
      <c r="K30" s="215"/>
      <c r="L30" s="216"/>
      <c r="M30" s="218"/>
    </row>
    <row r="31" spans="2:13" ht="15" customHeight="1" x14ac:dyDescent="0.2">
      <c r="B31" s="219">
        <v>45719</v>
      </c>
      <c r="C31" s="176">
        <f t="shared" si="0"/>
        <v>20</v>
      </c>
      <c r="D31" s="99" t="s">
        <v>57</v>
      </c>
      <c r="E31" s="109" t="s">
        <v>58</v>
      </c>
      <c r="F31" s="110" t="s">
        <v>135</v>
      </c>
      <c r="G31" s="214"/>
      <c r="H31" s="215"/>
      <c r="I31" s="216"/>
      <c r="J31" s="217"/>
      <c r="K31" s="215"/>
      <c r="L31" s="111">
        <v>617.74</v>
      </c>
      <c r="M31" s="218">
        <f>K31+L31</f>
        <v>617.74</v>
      </c>
    </row>
    <row r="32" spans="2:13" ht="15" customHeight="1" x14ac:dyDescent="0.2">
      <c r="B32" s="219">
        <v>45719</v>
      </c>
      <c r="C32" s="176">
        <f t="shared" si="0"/>
        <v>21</v>
      </c>
      <c r="D32" s="99" t="s">
        <v>53</v>
      </c>
      <c r="E32" s="109" t="s">
        <v>59</v>
      </c>
      <c r="F32" s="110" t="s">
        <v>131</v>
      </c>
      <c r="G32" s="214"/>
      <c r="H32" s="215"/>
      <c r="I32" s="216">
        <v>617.74</v>
      </c>
      <c r="J32" s="217">
        <f>I32+H32</f>
        <v>617.74</v>
      </c>
      <c r="K32" s="215"/>
      <c r="L32" s="216"/>
      <c r="M32" s="218"/>
    </row>
    <row r="33" spans="2:13" ht="15" customHeight="1" x14ac:dyDescent="0.2">
      <c r="B33" s="219">
        <v>45719</v>
      </c>
      <c r="C33" s="176">
        <f t="shared" si="0"/>
        <v>22</v>
      </c>
      <c r="D33" s="99" t="s">
        <v>57</v>
      </c>
      <c r="E33" s="109" t="s">
        <v>59</v>
      </c>
      <c r="F33" s="110" t="s">
        <v>137</v>
      </c>
      <c r="G33" s="52" t="s">
        <v>189</v>
      </c>
      <c r="H33" s="100"/>
      <c r="I33" s="111"/>
      <c r="J33" s="217"/>
      <c r="K33" s="102">
        <v>23.15</v>
      </c>
      <c r="L33" s="216"/>
      <c r="M33" s="103">
        <v>23.15</v>
      </c>
    </row>
    <row r="34" spans="2:13" ht="15" customHeight="1" x14ac:dyDescent="0.2">
      <c r="B34" s="219">
        <v>45719</v>
      </c>
      <c r="C34" s="176">
        <f t="shared" si="0"/>
        <v>23</v>
      </c>
      <c r="D34" s="99" t="s">
        <v>57</v>
      </c>
      <c r="E34" s="109" t="s">
        <v>59</v>
      </c>
      <c r="F34" s="110" t="s">
        <v>168</v>
      </c>
      <c r="G34" s="52" t="s">
        <v>189</v>
      </c>
      <c r="H34" s="100"/>
      <c r="I34" s="111"/>
      <c r="J34" s="217"/>
      <c r="K34" s="111">
        <v>126.87</v>
      </c>
      <c r="L34" s="216"/>
      <c r="M34" s="111">
        <v>126.87</v>
      </c>
    </row>
    <row r="35" spans="2:13" ht="15" customHeight="1" x14ac:dyDescent="0.2">
      <c r="B35" s="219">
        <v>45719</v>
      </c>
      <c r="C35" s="176">
        <f t="shared" si="0"/>
        <v>24</v>
      </c>
      <c r="D35" s="99" t="s">
        <v>57</v>
      </c>
      <c r="E35" s="109" t="s">
        <v>59</v>
      </c>
      <c r="F35" s="110" t="s">
        <v>169</v>
      </c>
      <c r="G35" s="52" t="s">
        <v>189</v>
      </c>
      <c r="H35" s="100"/>
      <c r="I35" s="111"/>
      <c r="J35" s="217"/>
      <c r="K35" s="111">
        <v>15.72</v>
      </c>
      <c r="L35" s="216"/>
      <c r="M35" s="111">
        <v>15.72</v>
      </c>
    </row>
    <row r="36" spans="2:13" ht="15" customHeight="1" x14ac:dyDescent="0.2">
      <c r="B36" s="219">
        <v>45719</v>
      </c>
      <c r="C36" s="176">
        <f t="shared" si="0"/>
        <v>25</v>
      </c>
      <c r="D36" s="99" t="s">
        <v>57</v>
      </c>
      <c r="E36" s="109" t="s">
        <v>59</v>
      </c>
      <c r="F36" s="161" t="s">
        <v>182</v>
      </c>
      <c r="H36" s="100"/>
      <c r="I36" s="111"/>
      <c r="J36" s="217"/>
      <c r="K36" s="111"/>
      <c r="L36" s="216">
        <v>450</v>
      </c>
      <c r="M36" s="103">
        <v>450</v>
      </c>
    </row>
    <row r="37" spans="2:13" ht="15" customHeight="1" x14ac:dyDescent="0.2">
      <c r="B37" s="219">
        <v>45721</v>
      </c>
      <c r="C37" s="176">
        <f t="shared" si="0"/>
        <v>26</v>
      </c>
      <c r="D37" s="99" t="s">
        <v>53</v>
      </c>
      <c r="E37" s="109" t="s">
        <v>58</v>
      </c>
      <c r="F37" s="110" t="s">
        <v>132</v>
      </c>
      <c r="G37" s="52" t="s">
        <v>232</v>
      </c>
      <c r="H37" s="100">
        <v>580</v>
      </c>
      <c r="I37" s="111"/>
      <c r="J37" s="217">
        <f t="shared" ref="J37:J42" si="2">I37+H37</f>
        <v>580</v>
      </c>
      <c r="K37" s="100"/>
      <c r="L37" s="111"/>
      <c r="M37" s="103"/>
    </row>
    <row r="38" spans="2:13" ht="15" customHeight="1" x14ac:dyDescent="0.2">
      <c r="B38" s="219">
        <v>45721</v>
      </c>
      <c r="C38" s="176">
        <f t="shared" si="0"/>
        <v>27</v>
      </c>
      <c r="D38" s="99" t="s">
        <v>53</v>
      </c>
      <c r="E38" s="109" t="s">
        <v>58</v>
      </c>
      <c r="F38" s="110" t="s">
        <v>165</v>
      </c>
      <c r="G38" s="52" t="s">
        <v>232</v>
      </c>
      <c r="H38" s="100">
        <v>70</v>
      </c>
      <c r="I38" s="111"/>
      <c r="J38" s="217">
        <f t="shared" si="2"/>
        <v>70</v>
      </c>
      <c r="K38" s="100"/>
      <c r="L38" s="111"/>
      <c r="M38" s="103"/>
    </row>
    <row r="39" spans="2:13" ht="15" customHeight="1" x14ac:dyDescent="0.2">
      <c r="B39" s="232">
        <v>45729</v>
      </c>
      <c r="C39" s="233" t="s">
        <v>195</v>
      </c>
      <c r="D39" s="234" t="s">
        <v>53</v>
      </c>
      <c r="E39" s="233" t="s">
        <v>58</v>
      </c>
      <c r="F39" s="235" t="s">
        <v>194</v>
      </c>
      <c r="G39" s="236" t="s">
        <v>229</v>
      </c>
      <c r="H39" s="237">
        <v>120</v>
      </c>
      <c r="I39" s="238"/>
      <c r="J39" s="217">
        <f t="shared" si="2"/>
        <v>120</v>
      </c>
      <c r="K39" s="237"/>
      <c r="L39" s="238"/>
      <c r="M39" s="239"/>
    </row>
    <row r="40" spans="2:13" ht="15" customHeight="1" x14ac:dyDescent="0.2">
      <c r="B40" s="232">
        <v>45748</v>
      </c>
      <c r="C40" s="233" t="s">
        <v>196</v>
      </c>
      <c r="D40" s="212" t="s">
        <v>53</v>
      </c>
      <c r="E40" s="211" t="s">
        <v>58</v>
      </c>
      <c r="F40" s="213" t="s">
        <v>183</v>
      </c>
      <c r="G40" s="236"/>
      <c r="H40" s="237"/>
      <c r="I40" s="238">
        <v>0.02</v>
      </c>
      <c r="J40" s="217">
        <f t="shared" si="2"/>
        <v>0.02</v>
      </c>
      <c r="K40" s="237"/>
      <c r="L40" s="238"/>
      <c r="M40" s="239"/>
    </row>
    <row r="41" spans="2:13" ht="15" customHeight="1" x14ac:dyDescent="0.2">
      <c r="B41" s="219">
        <v>45750</v>
      </c>
      <c r="C41" s="175">
        <v>30</v>
      </c>
      <c r="D41" s="99" t="s">
        <v>57</v>
      </c>
      <c r="E41" s="109" t="s">
        <v>58</v>
      </c>
      <c r="F41" s="110" t="s">
        <v>135</v>
      </c>
      <c r="H41" s="100"/>
      <c r="I41" s="111"/>
      <c r="J41" s="217"/>
      <c r="K41" s="100"/>
      <c r="L41" s="111">
        <v>956.78</v>
      </c>
      <c r="M41" s="103">
        <f>K41+L41</f>
        <v>956.78</v>
      </c>
    </row>
    <row r="42" spans="2:13" ht="15" customHeight="1" x14ac:dyDescent="0.2">
      <c r="B42" s="219">
        <v>45750</v>
      </c>
      <c r="C42" s="175">
        <f t="shared" si="0"/>
        <v>31</v>
      </c>
      <c r="D42" s="99" t="s">
        <v>53</v>
      </c>
      <c r="E42" s="109" t="s">
        <v>59</v>
      </c>
      <c r="F42" s="110" t="s">
        <v>131</v>
      </c>
      <c r="H42" s="100"/>
      <c r="I42" s="111">
        <v>956.78</v>
      </c>
      <c r="J42" s="217">
        <f t="shared" si="2"/>
        <v>956.78</v>
      </c>
      <c r="K42" s="100"/>
      <c r="L42" s="111"/>
      <c r="M42" s="103"/>
    </row>
    <row r="43" spans="2:13" ht="15" customHeight="1" x14ac:dyDescent="0.2">
      <c r="B43" s="219">
        <v>45750</v>
      </c>
      <c r="C43" s="175">
        <f t="shared" si="0"/>
        <v>32</v>
      </c>
      <c r="D43" s="99" t="s">
        <v>57</v>
      </c>
      <c r="E43" s="109" t="s">
        <v>59</v>
      </c>
      <c r="F43" s="110" t="s">
        <v>137</v>
      </c>
      <c r="G43" s="52" t="s">
        <v>193</v>
      </c>
      <c r="H43" s="100"/>
      <c r="I43" s="111"/>
      <c r="J43" s="101"/>
      <c r="K43" s="102">
        <v>24.2</v>
      </c>
      <c r="L43" s="111"/>
      <c r="M43" s="103">
        <v>24.2</v>
      </c>
    </row>
    <row r="44" spans="2:13" ht="15" customHeight="1" x14ac:dyDescent="0.2">
      <c r="B44" s="219">
        <v>45750</v>
      </c>
      <c r="C44" s="175">
        <f t="shared" si="0"/>
        <v>33</v>
      </c>
      <c r="D44" s="99" t="s">
        <v>57</v>
      </c>
      <c r="E44" s="109" t="s">
        <v>59</v>
      </c>
      <c r="F44" s="110" t="s">
        <v>168</v>
      </c>
      <c r="G44" s="52" t="s">
        <v>193</v>
      </c>
      <c r="H44" s="100"/>
      <c r="I44" s="111"/>
      <c r="J44" s="101"/>
      <c r="K44" s="111">
        <v>126.87</v>
      </c>
      <c r="L44" s="111"/>
      <c r="M44" s="111">
        <v>126.87</v>
      </c>
    </row>
    <row r="45" spans="2:13" ht="15" customHeight="1" x14ac:dyDescent="0.2">
      <c r="B45" s="219">
        <v>45750</v>
      </c>
      <c r="C45" s="175">
        <f t="shared" si="0"/>
        <v>34</v>
      </c>
      <c r="D45" s="99" t="s">
        <v>57</v>
      </c>
      <c r="E45" s="109" t="s">
        <v>59</v>
      </c>
      <c r="F45" s="110" t="s">
        <v>169</v>
      </c>
      <c r="G45" s="52" t="s">
        <v>193</v>
      </c>
      <c r="H45" s="100"/>
      <c r="I45" s="111"/>
      <c r="J45" s="101"/>
      <c r="K45" s="111">
        <v>15.72</v>
      </c>
      <c r="L45" s="111"/>
      <c r="M45" s="111">
        <v>15.72</v>
      </c>
    </row>
    <row r="46" spans="2:13" ht="15" customHeight="1" x14ac:dyDescent="0.2">
      <c r="B46" s="219">
        <v>45750</v>
      </c>
      <c r="C46" s="175">
        <f t="shared" si="0"/>
        <v>35</v>
      </c>
      <c r="D46" s="99" t="s">
        <v>57</v>
      </c>
      <c r="E46" s="109" t="s">
        <v>59</v>
      </c>
      <c r="F46" s="110" t="s">
        <v>182</v>
      </c>
      <c r="H46" s="100"/>
      <c r="I46" s="111"/>
      <c r="J46" s="101"/>
      <c r="K46" s="111"/>
      <c r="L46" s="111">
        <v>350</v>
      </c>
      <c r="M46" s="103">
        <v>350</v>
      </c>
    </row>
    <row r="47" spans="2:13" ht="15" customHeight="1" x14ac:dyDescent="0.2">
      <c r="B47" s="219">
        <v>45750</v>
      </c>
      <c r="C47" s="175">
        <f t="shared" si="0"/>
        <v>36</v>
      </c>
      <c r="D47" s="99" t="s">
        <v>57</v>
      </c>
      <c r="E47" s="109" t="s">
        <v>59</v>
      </c>
      <c r="F47" s="110" t="s">
        <v>192</v>
      </c>
      <c r="H47" s="100"/>
      <c r="I47" s="111"/>
      <c r="J47" s="101"/>
      <c r="K47" s="111">
        <v>439.99</v>
      </c>
      <c r="L47" s="111"/>
      <c r="M47" s="103">
        <v>439.99</v>
      </c>
    </row>
    <row r="48" spans="2:13" ht="15" customHeight="1" x14ac:dyDescent="0.2">
      <c r="B48" s="219">
        <v>45750</v>
      </c>
      <c r="C48" s="175">
        <f t="shared" si="0"/>
        <v>37</v>
      </c>
      <c r="D48" s="99" t="s">
        <v>53</v>
      </c>
      <c r="E48" s="109" t="s">
        <v>58</v>
      </c>
      <c r="F48" s="110" t="s">
        <v>132</v>
      </c>
      <c r="G48" s="52" t="s">
        <v>231</v>
      </c>
      <c r="H48" s="100">
        <v>580</v>
      </c>
      <c r="I48" s="111"/>
      <c r="J48" s="217">
        <f t="shared" ref="J48:J63" si="3">I48+H48</f>
        <v>580</v>
      </c>
      <c r="K48" s="102"/>
      <c r="L48" s="111"/>
      <c r="M48" s="103"/>
    </row>
    <row r="49" spans="2:13" ht="15" customHeight="1" x14ac:dyDescent="0.2">
      <c r="B49" s="219">
        <v>45750</v>
      </c>
      <c r="C49" s="176">
        <f t="shared" si="0"/>
        <v>38</v>
      </c>
      <c r="D49" s="99" t="s">
        <v>53</v>
      </c>
      <c r="E49" s="109" t="s">
        <v>58</v>
      </c>
      <c r="F49" s="110" t="s">
        <v>165</v>
      </c>
      <c r="G49" s="52" t="s">
        <v>231</v>
      </c>
      <c r="H49" s="100">
        <v>120</v>
      </c>
      <c r="I49" s="111"/>
      <c r="J49" s="217">
        <f t="shared" si="3"/>
        <v>120</v>
      </c>
      <c r="K49" s="102"/>
      <c r="L49" s="111"/>
      <c r="M49" s="103"/>
    </row>
    <row r="50" spans="2:13" ht="15" customHeight="1" x14ac:dyDescent="0.2">
      <c r="B50" s="219">
        <v>45750</v>
      </c>
      <c r="C50" s="176">
        <f t="shared" si="0"/>
        <v>39</v>
      </c>
      <c r="D50" s="99" t="s">
        <v>53</v>
      </c>
      <c r="E50" s="109" t="s">
        <v>58</v>
      </c>
      <c r="F50" s="110" t="s">
        <v>194</v>
      </c>
      <c r="G50" s="52" t="s">
        <v>228</v>
      </c>
      <c r="H50" s="100">
        <v>120</v>
      </c>
      <c r="I50" s="111"/>
      <c r="J50" s="217">
        <f t="shared" si="3"/>
        <v>120</v>
      </c>
      <c r="K50" s="102"/>
      <c r="L50" s="111"/>
      <c r="M50" s="103"/>
    </row>
    <row r="51" spans="2:13" ht="15" customHeight="1" x14ac:dyDescent="0.2">
      <c r="B51" s="219">
        <v>45775</v>
      </c>
      <c r="C51" s="176">
        <v>40</v>
      </c>
      <c r="D51" s="99" t="s">
        <v>57</v>
      </c>
      <c r="E51" s="109" t="s">
        <v>59</v>
      </c>
      <c r="F51" s="161" t="s">
        <v>218</v>
      </c>
      <c r="H51" s="100"/>
      <c r="I51" s="111"/>
      <c r="J51" s="101"/>
      <c r="K51" s="102"/>
      <c r="L51" s="111">
        <v>1730</v>
      </c>
      <c r="M51" s="103">
        <v>1730</v>
      </c>
    </row>
    <row r="52" spans="2:13" ht="15" customHeight="1" x14ac:dyDescent="0.2">
      <c r="B52" s="219">
        <v>45778</v>
      </c>
      <c r="C52" s="176">
        <v>41</v>
      </c>
      <c r="D52" s="99" t="s">
        <v>53</v>
      </c>
      <c r="E52" s="109" t="s">
        <v>58</v>
      </c>
      <c r="F52" s="161" t="s">
        <v>183</v>
      </c>
      <c r="H52" s="100"/>
      <c r="I52" s="111">
        <v>0.02</v>
      </c>
      <c r="J52" s="217">
        <f t="shared" si="3"/>
        <v>0.02</v>
      </c>
      <c r="K52" s="102"/>
      <c r="L52" s="111"/>
      <c r="M52" s="103"/>
    </row>
    <row r="53" spans="2:13" ht="15" customHeight="1" x14ac:dyDescent="0.2">
      <c r="B53" s="220">
        <v>45778</v>
      </c>
      <c r="C53" s="176">
        <v>42</v>
      </c>
      <c r="D53" s="185" t="s">
        <v>57</v>
      </c>
      <c r="E53" s="184" t="s">
        <v>58</v>
      </c>
      <c r="F53" s="170" t="s">
        <v>135</v>
      </c>
      <c r="G53" s="186"/>
      <c r="H53" s="187"/>
      <c r="I53" s="172"/>
      <c r="J53" s="162"/>
      <c r="K53" s="102"/>
      <c r="L53" s="111">
        <f>730+153+350</f>
        <v>1233</v>
      </c>
      <c r="M53" s="111">
        <f>730+153+350</f>
        <v>1233</v>
      </c>
    </row>
    <row r="54" spans="2:13" ht="15" customHeight="1" x14ac:dyDescent="0.2">
      <c r="B54" s="220">
        <v>45778</v>
      </c>
      <c r="C54" s="176">
        <v>43</v>
      </c>
      <c r="D54" s="185" t="s">
        <v>53</v>
      </c>
      <c r="E54" s="184" t="s">
        <v>59</v>
      </c>
      <c r="F54" s="170" t="s">
        <v>131</v>
      </c>
      <c r="G54" s="186"/>
      <c r="H54" s="187"/>
      <c r="I54" s="172">
        <v>1233</v>
      </c>
      <c r="J54" s="217">
        <f t="shared" si="3"/>
        <v>1233</v>
      </c>
      <c r="K54" s="102"/>
      <c r="L54" s="111"/>
      <c r="M54" s="111"/>
    </row>
    <row r="55" spans="2:13" ht="15" customHeight="1" x14ac:dyDescent="0.2">
      <c r="B55" s="219">
        <v>45778</v>
      </c>
      <c r="C55" s="176">
        <v>44</v>
      </c>
      <c r="D55" s="99" t="s">
        <v>57</v>
      </c>
      <c r="E55" s="109" t="s">
        <v>59</v>
      </c>
      <c r="F55" s="161" t="s">
        <v>168</v>
      </c>
      <c r="H55" s="100"/>
      <c r="I55" s="111"/>
      <c r="J55" s="101"/>
      <c r="K55" s="102">
        <v>153</v>
      </c>
      <c r="L55" s="111"/>
      <c r="M55" s="103">
        <v>153</v>
      </c>
    </row>
    <row r="56" spans="2:13" ht="15" customHeight="1" x14ac:dyDescent="0.2">
      <c r="B56" s="220">
        <v>45778</v>
      </c>
      <c r="C56" s="176">
        <v>45</v>
      </c>
      <c r="D56" s="185" t="s">
        <v>57</v>
      </c>
      <c r="E56" s="184" t="s">
        <v>59</v>
      </c>
      <c r="F56" s="161" t="s">
        <v>169</v>
      </c>
      <c r="G56" s="186"/>
      <c r="H56" s="187"/>
      <c r="I56" s="172"/>
      <c r="J56" s="188"/>
      <c r="K56" s="189">
        <v>15.72</v>
      </c>
      <c r="L56" s="172"/>
      <c r="M56" s="190">
        <v>15.72</v>
      </c>
    </row>
    <row r="57" spans="2:13" ht="15" customHeight="1" x14ac:dyDescent="0.2">
      <c r="B57" s="220">
        <v>45778</v>
      </c>
      <c r="C57" s="176">
        <v>46</v>
      </c>
      <c r="D57" s="185" t="s">
        <v>57</v>
      </c>
      <c r="E57" s="184" t="s">
        <v>59</v>
      </c>
      <c r="F57" s="170" t="s">
        <v>182</v>
      </c>
      <c r="G57" s="186"/>
      <c r="H57" s="187"/>
      <c r="I57" s="172"/>
      <c r="J57" s="162"/>
      <c r="K57" s="102"/>
      <c r="L57" s="111">
        <v>350</v>
      </c>
      <c r="M57" s="103">
        <v>350</v>
      </c>
    </row>
    <row r="58" spans="2:13" ht="15" customHeight="1" x14ac:dyDescent="0.2">
      <c r="B58" s="219">
        <v>45783</v>
      </c>
      <c r="C58" s="175">
        <f>C57+1</f>
        <v>47</v>
      </c>
      <c r="D58" s="99" t="s">
        <v>53</v>
      </c>
      <c r="E58" s="109" t="s">
        <v>58</v>
      </c>
      <c r="F58" s="110" t="s">
        <v>132</v>
      </c>
      <c r="G58" s="52" t="s">
        <v>230</v>
      </c>
      <c r="H58" s="100">
        <v>580</v>
      </c>
      <c r="I58" s="111"/>
      <c r="J58" s="217">
        <f t="shared" si="3"/>
        <v>580</v>
      </c>
      <c r="K58" s="102"/>
      <c r="L58" s="111"/>
      <c r="M58" s="103"/>
    </row>
    <row r="59" spans="2:13" ht="15" customHeight="1" x14ac:dyDescent="0.2">
      <c r="B59" s="219">
        <v>45783</v>
      </c>
      <c r="C59" s="176">
        <f t="shared" ref="C59:C88" si="4">C58+1</f>
        <v>48</v>
      </c>
      <c r="D59" s="99" t="s">
        <v>53</v>
      </c>
      <c r="E59" s="109" t="s">
        <v>58</v>
      </c>
      <c r="F59" s="110" t="s">
        <v>165</v>
      </c>
      <c r="G59" s="52" t="s">
        <v>230</v>
      </c>
      <c r="H59" s="100">
        <v>120</v>
      </c>
      <c r="I59" s="111"/>
      <c r="J59" s="217">
        <f t="shared" si="3"/>
        <v>120</v>
      </c>
      <c r="K59" s="102"/>
      <c r="L59" s="111"/>
      <c r="M59" s="103"/>
    </row>
    <row r="60" spans="2:13" ht="15" customHeight="1" x14ac:dyDescent="0.2">
      <c r="B60" s="219">
        <v>45783</v>
      </c>
      <c r="C60" s="176">
        <f t="shared" si="4"/>
        <v>49</v>
      </c>
      <c r="D60" s="99" t="s">
        <v>53</v>
      </c>
      <c r="E60" s="109" t="s">
        <v>58</v>
      </c>
      <c r="F60" s="110" t="s">
        <v>194</v>
      </c>
      <c r="G60" s="52" t="s">
        <v>227</v>
      </c>
      <c r="H60" s="100">
        <v>120</v>
      </c>
      <c r="I60" s="111"/>
      <c r="J60" s="217">
        <f t="shared" si="3"/>
        <v>120</v>
      </c>
      <c r="K60" s="102"/>
      <c r="L60" s="111"/>
      <c r="M60" s="103"/>
    </row>
    <row r="61" spans="2:13" ht="15" customHeight="1" x14ac:dyDescent="0.2">
      <c r="B61" s="284">
        <v>45809</v>
      </c>
      <c r="C61" s="176">
        <f t="shared" si="4"/>
        <v>50</v>
      </c>
      <c r="D61" s="286" t="s">
        <v>53</v>
      </c>
      <c r="E61" s="285" t="s">
        <v>58</v>
      </c>
      <c r="F61" s="161" t="s">
        <v>183</v>
      </c>
      <c r="G61" s="287"/>
      <c r="H61" s="288"/>
      <c r="I61" s="272">
        <v>0.01</v>
      </c>
      <c r="J61" s="217">
        <f t="shared" si="3"/>
        <v>0.01</v>
      </c>
      <c r="K61" s="289"/>
      <c r="L61" s="272"/>
      <c r="M61" s="290"/>
    </row>
    <row r="62" spans="2:13" ht="15" customHeight="1" x14ac:dyDescent="0.2">
      <c r="B62" s="219">
        <v>45812</v>
      </c>
      <c r="C62" s="176">
        <f t="shared" si="4"/>
        <v>51</v>
      </c>
      <c r="D62" s="99" t="s">
        <v>53</v>
      </c>
      <c r="E62" s="109" t="s">
        <v>58</v>
      </c>
      <c r="F62" s="110" t="s">
        <v>132</v>
      </c>
      <c r="G62" s="52" t="s">
        <v>235</v>
      </c>
      <c r="H62" s="100">
        <v>580</v>
      </c>
      <c r="I62" s="111"/>
      <c r="J62" s="217">
        <f t="shared" si="3"/>
        <v>580</v>
      </c>
      <c r="K62" s="102"/>
      <c r="L62" s="111"/>
      <c r="M62" s="103"/>
    </row>
    <row r="63" spans="2:13" ht="15" customHeight="1" x14ac:dyDescent="0.2">
      <c r="B63" s="219">
        <v>45812</v>
      </c>
      <c r="C63" s="176">
        <f t="shared" si="4"/>
        <v>52</v>
      </c>
      <c r="D63" s="99" t="s">
        <v>53</v>
      </c>
      <c r="E63" s="109" t="s">
        <v>58</v>
      </c>
      <c r="F63" s="110" t="s">
        <v>165</v>
      </c>
      <c r="G63" s="52" t="s">
        <v>235</v>
      </c>
      <c r="H63" s="100">
        <v>120</v>
      </c>
      <c r="I63" s="111"/>
      <c r="J63" s="217">
        <f t="shared" si="3"/>
        <v>120</v>
      </c>
      <c r="K63" s="102"/>
      <c r="L63" s="111"/>
      <c r="M63" s="103"/>
    </row>
    <row r="64" spans="2:13" ht="15" customHeight="1" x14ac:dyDescent="0.2">
      <c r="B64" s="219">
        <v>45817</v>
      </c>
      <c r="C64" s="176">
        <f t="shared" si="4"/>
        <v>53</v>
      </c>
      <c r="D64" s="99" t="s">
        <v>57</v>
      </c>
      <c r="E64" s="109" t="s">
        <v>59</v>
      </c>
      <c r="F64" s="110" t="s">
        <v>181</v>
      </c>
      <c r="G64" s="52" t="s">
        <v>233</v>
      </c>
      <c r="H64" s="100"/>
      <c r="I64" s="111"/>
      <c r="J64" s="100"/>
      <c r="K64" s="102">
        <v>46.09</v>
      </c>
      <c r="L64" s="111"/>
      <c r="M64" s="103">
        <v>46.09</v>
      </c>
    </row>
    <row r="65" spans="2:13" ht="15" customHeight="1" x14ac:dyDescent="0.2">
      <c r="B65" s="223">
        <v>45817</v>
      </c>
      <c r="C65" s="176">
        <f t="shared" si="4"/>
        <v>54</v>
      </c>
      <c r="D65" s="185" t="s">
        <v>57</v>
      </c>
      <c r="E65" s="184" t="s">
        <v>59</v>
      </c>
      <c r="F65" s="170" t="s">
        <v>192</v>
      </c>
      <c r="G65" s="52" t="s">
        <v>234</v>
      </c>
      <c r="H65" s="187"/>
      <c r="I65" s="172"/>
      <c r="J65" s="162"/>
      <c r="K65" s="111">
        <v>71.069999999999993</v>
      </c>
      <c r="L65" s="111"/>
      <c r="M65" s="111">
        <v>71.069999999999993</v>
      </c>
    </row>
    <row r="66" spans="2:13" ht="15" customHeight="1" x14ac:dyDescent="0.2">
      <c r="B66" s="223">
        <v>45817</v>
      </c>
      <c r="C66" s="176">
        <f t="shared" si="4"/>
        <v>55</v>
      </c>
      <c r="D66" s="185" t="s">
        <v>57</v>
      </c>
      <c r="E66" s="184" t="s">
        <v>58</v>
      </c>
      <c r="F66" s="170" t="s">
        <v>135</v>
      </c>
      <c r="G66" s="186"/>
      <c r="H66" s="187"/>
      <c r="I66" s="172"/>
      <c r="J66" s="162"/>
      <c r="K66" s="102"/>
      <c r="L66" s="111">
        <f>350+46.09+31.5+71.07+153+15.72+500</f>
        <v>1167.3800000000001</v>
      </c>
      <c r="M66" s="111">
        <f>350+46.09+31.5+71.07+153+15.72+500</f>
        <v>1167.3800000000001</v>
      </c>
    </row>
    <row r="67" spans="2:13" ht="15" customHeight="1" x14ac:dyDescent="0.2">
      <c r="B67" s="223">
        <v>45817</v>
      </c>
      <c r="C67" s="176">
        <f t="shared" si="4"/>
        <v>56</v>
      </c>
      <c r="D67" s="185" t="s">
        <v>53</v>
      </c>
      <c r="E67" s="184" t="s">
        <v>59</v>
      </c>
      <c r="F67" s="170" t="s">
        <v>131</v>
      </c>
      <c r="G67" s="186"/>
      <c r="H67" s="187"/>
      <c r="I67" s="172">
        <v>1167.3800000000001</v>
      </c>
      <c r="J67" s="172">
        <v>1167.3800000000001</v>
      </c>
      <c r="K67" s="102"/>
      <c r="L67" s="111"/>
      <c r="M67" s="111"/>
    </row>
    <row r="68" spans="2:13" ht="15" customHeight="1" x14ac:dyDescent="0.2">
      <c r="B68" s="223">
        <v>45817</v>
      </c>
      <c r="C68" s="176">
        <f t="shared" si="4"/>
        <v>57</v>
      </c>
      <c r="D68" s="99" t="s">
        <v>57</v>
      </c>
      <c r="E68" s="109" t="s">
        <v>59</v>
      </c>
      <c r="F68" s="110" t="s">
        <v>137</v>
      </c>
      <c r="G68" s="52" t="s">
        <v>239</v>
      </c>
      <c r="H68" s="100"/>
      <c r="I68" s="111"/>
      <c r="J68" s="101"/>
      <c r="K68" s="225">
        <v>31.5</v>
      </c>
      <c r="L68" s="225"/>
      <c r="M68" s="225">
        <v>31.5</v>
      </c>
    </row>
    <row r="69" spans="2:13" ht="15" customHeight="1" x14ac:dyDescent="0.2">
      <c r="B69" s="223">
        <v>45817</v>
      </c>
      <c r="C69" s="176">
        <f t="shared" si="4"/>
        <v>58</v>
      </c>
      <c r="D69" s="99" t="s">
        <v>57</v>
      </c>
      <c r="E69" s="109" t="s">
        <v>59</v>
      </c>
      <c r="F69" s="110" t="s">
        <v>168</v>
      </c>
      <c r="H69" s="100"/>
      <c r="I69" s="111"/>
      <c r="J69" s="101"/>
      <c r="K69" s="102">
        <v>153</v>
      </c>
      <c r="L69" s="111"/>
      <c r="M69" s="291">
        <v>153</v>
      </c>
    </row>
    <row r="70" spans="2:13" ht="15" customHeight="1" x14ac:dyDescent="0.2">
      <c r="B70" s="223">
        <v>45817</v>
      </c>
      <c r="C70" s="176">
        <f t="shared" si="4"/>
        <v>59</v>
      </c>
      <c r="D70" s="99" t="s">
        <v>57</v>
      </c>
      <c r="E70" s="109" t="s">
        <v>59</v>
      </c>
      <c r="F70" s="161" t="s">
        <v>169</v>
      </c>
      <c r="H70" s="100"/>
      <c r="I70" s="111"/>
      <c r="J70" s="101"/>
      <c r="K70" s="189">
        <v>15.72</v>
      </c>
      <c r="L70" s="111"/>
      <c r="M70" s="292">
        <v>15.72</v>
      </c>
    </row>
    <row r="71" spans="2:13" ht="15" customHeight="1" x14ac:dyDescent="0.2">
      <c r="B71" s="223">
        <v>45817</v>
      </c>
      <c r="C71" s="176">
        <f t="shared" si="4"/>
        <v>60</v>
      </c>
      <c r="D71" s="185" t="s">
        <v>57</v>
      </c>
      <c r="E71" s="184" t="s">
        <v>59</v>
      </c>
      <c r="F71" s="170" t="s">
        <v>182</v>
      </c>
      <c r="G71" s="186"/>
      <c r="H71" s="187"/>
      <c r="I71" s="172"/>
      <c r="J71" s="162"/>
      <c r="K71" s="111"/>
      <c r="L71" s="111">
        <v>350</v>
      </c>
      <c r="M71" s="291">
        <v>350</v>
      </c>
    </row>
    <row r="72" spans="2:13" ht="15" customHeight="1" x14ac:dyDescent="0.2">
      <c r="B72" s="223">
        <v>45841</v>
      </c>
      <c r="C72" s="176">
        <f t="shared" si="4"/>
        <v>61</v>
      </c>
      <c r="D72" s="185" t="s">
        <v>53</v>
      </c>
      <c r="E72" s="184" t="s">
        <v>58</v>
      </c>
      <c r="F72" s="110" t="s">
        <v>132</v>
      </c>
      <c r="G72" s="52" t="s">
        <v>236</v>
      </c>
      <c r="H72" s="100">
        <v>580</v>
      </c>
      <c r="I72" s="111"/>
      <c r="J72" s="100">
        <v>580</v>
      </c>
      <c r="K72" s="111"/>
      <c r="L72" s="111"/>
      <c r="M72" s="291"/>
    </row>
    <row r="73" spans="2:13" ht="15" customHeight="1" x14ac:dyDescent="0.2">
      <c r="B73" s="223">
        <v>45841</v>
      </c>
      <c r="C73" s="176">
        <f t="shared" si="4"/>
        <v>62</v>
      </c>
      <c r="D73" s="99" t="s">
        <v>53</v>
      </c>
      <c r="E73" s="184" t="s">
        <v>58</v>
      </c>
      <c r="F73" s="110" t="s">
        <v>165</v>
      </c>
      <c r="G73" s="52" t="s">
        <v>236</v>
      </c>
      <c r="H73" s="100">
        <v>120</v>
      </c>
      <c r="I73" s="111"/>
      <c r="J73" s="100">
        <v>120</v>
      </c>
      <c r="K73" s="102"/>
      <c r="L73" s="111"/>
      <c r="M73" s="291"/>
    </row>
    <row r="74" spans="2:13" ht="15" customHeight="1" x14ac:dyDescent="0.2">
      <c r="B74" s="223">
        <v>45841</v>
      </c>
      <c r="C74" s="176">
        <f t="shared" si="4"/>
        <v>63</v>
      </c>
      <c r="D74" s="99" t="s">
        <v>53</v>
      </c>
      <c r="E74" s="109" t="s">
        <v>58</v>
      </c>
      <c r="F74" s="110" t="s">
        <v>183</v>
      </c>
      <c r="H74" s="100"/>
      <c r="I74" s="111">
        <v>0.01</v>
      </c>
      <c r="J74" s="101">
        <v>0.01</v>
      </c>
      <c r="K74" s="111"/>
      <c r="L74" s="111"/>
      <c r="M74" s="291"/>
    </row>
    <row r="75" spans="2:13" ht="15" customHeight="1" x14ac:dyDescent="0.2">
      <c r="B75" s="223">
        <v>45852</v>
      </c>
      <c r="C75" s="176">
        <f t="shared" si="4"/>
        <v>64</v>
      </c>
      <c r="D75" s="185" t="s">
        <v>57</v>
      </c>
      <c r="E75" s="184" t="s">
        <v>58</v>
      </c>
      <c r="F75" s="170" t="s">
        <v>135</v>
      </c>
      <c r="G75" s="186"/>
      <c r="H75" s="187"/>
      <c r="I75" s="172"/>
      <c r="J75" s="162"/>
      <c r="K75" s="102"/>
      <c r="L75" s="111">
        <f>31.5+153+15.72+350+13.72+500</f>
        <v>1063.94</v>
      </c>
      <c r="M75" s="111">
        <f>31.5+153+15.72+350+13.72+500</f>
        <v>1063.94</v>
      </c>
    </row>
    <row r="76" spans="2:13" ht="15" customHeight="1" x14ac:dyDescent="0.2">
      <c r="B76" s="223">
        <v>45852</v>
      </c>
      <c r="C76" s="176">
        <f t="shared" si="4"/>
        <v>65</v>
      </c>
      <c r="D76" s="185" t="s">
        <v>53</v>
      </c>
      <c r="E76" s="184" t="s">
        <v>59</v>
      </c>
      <c r="F76" s="170" t="s">
        <v>131</v>
      </c>
      <c r="G76" s="186"/>
      <c r="H76" s="187"/>
      <c r="I76" s="172">
        <v>1063.94</v>
      </c>
      <c r="J76" s="172">
        <v>1063.94</v>
      </c>
      <c r="K76" s="102"/>
      <c r="L76" s="111"/>
      <c r="M76" s="111"/>
    </row>
    <row r="77" spans="2:13" ht="15" customHeight="1" x14ac:dyDescent="0.2">
      <c r="B77" s="223">
        <v>45852</v>
      </c>
      <c r="C77" s="176">
        <f t="shared" si="4"/>
        <v>66</v>
      </c>
      <c r="D77" s="99" t="s">
        <v>57</v>
      </c>
      <c r="E77" s="109" t="s">
        <v>59</v>
      </c>
      <c r="F77" s="110" t="s">
        <v>137</v>
      </c>
      <c r="G77" s="52" t="s">
        <v>235</v>
      </c>
      <c r="H77" s="100"/>
      <c r="I77" s="111"/>
      <c r="J77" s="101"/>
      <c r="K77" s="225">
        <v>31.5</v>
      </c>
      <c r="L77" s="225"/>
      <c r="M77" s="225">
        <v>31.5</v>
      </c>
    </row>
    <row r="78" spans="2:13" ht="15" customHeight="1" x14ac:dyDescent="0.2">
      <c r="B78" s="223">
        <v>45852</v>
      </c>
      <c r="C78" s="176">
        <f t="shared" si="4"/>
        <v>67</v>
      </c>
      <c r="D78" s="99" t="s">
        <v>57</v>
      </c>
      <c r="E78" s="109" t="s">
        <v>59</v>
      </c>
      <c r="F78" s="110" t="s">
        <v>168</v>
      </c>
      <c r="H78" s="100"/>
      <c r="I78" s="111"/>
      <c r="J78" s="101"/>
      <c r="K78" s="102">
        <v>153</v>
      </c>
      <c r="L78" s="111"/>
      <c r="M78" s="291">
        <v>153</v>
      </c>
    </row>
    <row r="79" spans="2:13" ht="15" customHeight="1" x14ac:dyDescent="0.2">
      <c r="B79" s="223">
        <v>45852</v>
      </c>
      <c r="C79" s="176">
        <f t="shared" si="4"/>
        <v>68</v>
      </c>
      <c r="D79" s="99" t="s">
        <v>57</v>
      </c>
      <c r="E79" s="109" t="s">
        <v>59</v>
      </c>
      <c r="F79" s="161" t="s">
        <v>169</v>
      </c>
      <c r="H79" s="100"/>
      <c r="I79" s="111"/>
      <c r="J79" s="101"/>
      <c r="K79" s="189">
        <v>15.72</v>
      </c>
      <c r="L79" s="111"/>
      <c r="M79" s="292">
        <v>15.72</v>
      </c>
    </row>
    <row r="80" spans="2:13" ht="15" customHeight="1" x14ac:dyDescent="0.2">
      <c r="B80" s="223">
        <v>45852</v>
      </c>
      <c r="C80" s="176">
        <f t="shared" si="4"/>
        <v>69</v>
      </c>
      <c r="D80" s="185" t="s">
        <v>57</v>
      </c>
      <c r="E80" s="184" t="s">
        <v>59</v>
      </c>
      <c r="F80" s="170" t="s">
        <v>182</v>
      </c>
      <c r="G80" s="186"/>
      <c r="H80" s="187"/>
      <c r="I80" s="172"/>
      <c r="J80" s="162"/>
      <c r="K80" s="111"/>
      <c r="L80" s="111">
        <v>350</v>
      </c>
      <c r="M80" s="291">
        <v>350</v>
      </c>
    </row>
    <row r="81" spans="2:13" ht="15" customHeight="1" x14ac:dyDescent="0.2">
      <c r="B81" s="223">
        <v>45870</v>
      </c>
      <c r="C81" s="176">
        <f t="shared" si="4"/>
        <v>70</v>
      </c>
      <c r="D81" s="99" t="s">
        <v>53</v>
      </c>
      <c r="E81" s="109" t="s">
        <v>58</v>
      </c>
      <c r="F81" s="110" t="s">
        <v>183</v>
      </c>
      <c r="H81" s="100"/>
      <c r="I81" s="111">
        <v>0.01</v>
      </c>
      <c r="J81" s="101">
        <v>0.01</v>
      </c>
      <c r="K81" s="111"/>
      <c r="L81" s="111"/>
      <c r="M81" s="291"/>
    </row>
    <row r="82" spans="2:13" ht="15" customHeight="1" x14ac:dyDescent="0.2">
      <c r="B82" s="223">
        <v>45876</v>
      </c>
      <c r="C82" s="176">
        <f t="shared" si="4"/>
        <v>71</v>
      </c>
      <c r="D82" s="185" t="s">
        <v>57</v>
      </c>
      <c r="E82" s="184" t="s">
        <v>58</v>
      </c>
      <c r="F82" s="170" t="s">
        <v>135</v>
      </c>
      <c r="G82" s="186"/>
      <c r="H82" s="187"/>
      <c r="I82" s="172"/>
      <c r="J82" s="162"/>
      <c r="K82" s="102"/>
      <c r="L82" s="111">
        <v>596.29999999999995</v>
      </c>
      <c r="M82" s="111">
        <v>596.29999999999995</v>
      </c>
    </row>
    <row r="83" spans="2:13" ht="15" customHeight="1" x14ac:dyDescent="0.2">
      <c r="B83" s="223">
        <v>45876</v>
      </c>
      <c r="C83" s="176">
        <f t="shared" si="4"/>
        <v>72</v>
      </c>
      <c r="D83" s="185" t="s">
        <v>53</v>
      </c>
      <c r="E83" s="184" t="s">
        <v>59</v>
      </c>
      <c r="F83" s="170" t="s">
        <v>131</v>
      </c>
      <c r="G83" s="186"/>
      <c r="H83" s="187"/>
      <c r="I83" s="172">
        <v>596.29999999999995</v>
      </c>
      <c r="J83" s="172">
        <v>596.29999999999995</v>
      </c>
      <c r="K83" s="102"/>
      <c r="L83" s="111"/>
      <c r="M83" s="111"/>
    </row>
    <row r="84" spans="2:13" ht="15" customHeight="1" x14ac:dyDescent="0.2">
      <c r="B84" s="223">
        <v>45876</v>
      </c>
      <c r="C84" s="176">
        <f t="shared" si="4"/>
        <v>73</v>
      </c>
      <c r="D84" s="99" t="s">
        <v>57</v>
      </c>
      <c r="E84" s="109" t="s">
        <v>59</v>
      </c>
      <c r="F84" s="110" t="s">
        <v>137</v>
      </c>
      <c r="G84" s="52" t="s">
        <v>236</v>
      </c>
      <c r="H84" s="100"/>
      <c r="I84" s="111"/>
      <c r="J84" s="101"/>
      <c r="K84" s="225">
        <v>31.5</v>
      </c>
      <c r="L84" s="225"/>
      <c r="M84" s="225">
        <v>31.5</v>
      </c>
    </row>
    <row r="85" spans="2:13" ht="15" customHeight="1" x14ac:dyDescent="0.2">
      <c r="B85" s="223">
        <v>45876</v>
      </c>
      <c r="C85" s="176">
        <f t="shared" si="4"/>
        <v>74</v>
      </c>
      <c r="D85" s="99" t="s">
        <v>57</v>
      </c>
      <c r="E85" s="109" t="s">
        <v>59</v>
      </c>
      <c r="F85" s="110" t="s">
        <v>168</v>
      </c>
      <c r="H85" s="100"/>
      <c r="I85" s="111"/>
      <c r="J85" s="101"/>
      <c r="K85" s="102">
        <v>153</v>
      </c>
      <c r="L85" s="111"/>
      <c r="M85" s="291">
        <v>153</v>
      </c>
    </row>
    <row r="86" spans="2:13" ht="15" customHeight="1" x14ac:dyDescent="0.2">
      <c r="B86" s="223">
        <v>45876</v>
      </c>
      <c r="C86" s="176">
        <f t="shared" si="4"/>
        <v>75</v>
      </c>
      <c r="D86" s="99" t="s">
        <v>57</v>
      </c>
      <c r="E86" s="109" t="s">
        <v>59</v>
      </c>
      <c r="F86" s="161" t="s">
        <v>169</v>
      </c>
      <c r="H86" s="100"/>
      <c r="I86" s="111"/>
      <c r="J86" s="101"/>
      <c r="K86" s="189">
        <v>15.72</v>
      </c>
      <c r="L86" s="111"/>
      <c r="M86" s="292">
        <v>15.72</v>
      </c>
    </row>
    <row r="87" spans="2:13" ht="15" customHeight="1" x14ac:dyDescent="0.2">
      <c r="B87" s="223">
        <v>45876</v>
      </c>
      <c r="C87" s="176">
        <f t="shared" si="4"/>
        <v>76</v>
      </c>
      <c r="D87" s="185" t="s">
        <v>57</v>
      </c>
      <c r="E87" s="184" t="s">
        <v>59</v>
      </c>
      <c r="F87" s="170" t="s">
        <v>182</v>
      </c>
      <c r="G87" s="186"/>
      <c r="H87" s="187"/>
      <c r="I87" s="172"/>
      <c r="J87" s="162"/>
      <c r="K87" s="111"/>
      <c r="L87" s="111">
        <v>350</v>
      </c>
      <c r="M87" s="291">
        <v>350</v>
      </c>
    </row>
    <row r="88" spans="2:13" ht="15" customHeight="1" x14ac:dyDescent="0.2">
      <c r="B88" s="223">
        <v>45876</v>
      </c>
      <c r="C88" s="176">
        <f t="shared" si="4"/>
        <v>77</v>
      </c>
      <c r="D88" s="99" t="s">
        <v>57</v>
      </c>
      <c r="E88" s="109" t="s">
        <v>59</v>
      </c>
      <c r="F88" s="110" t="s">
        <v>181</v>
      </c>
      <c r="G88" s="52" t="s">
        <v>237</v>
      </c>
      <c r="H88" s="100"/>
      <c r="I88" s="111"/>
      <c r="J88" s="100"/>
      <c r="K88" s="102">
        <v>46.08</v>
      </c>
      <c r="L88" s="111"/>
      <c r="M88" s="291">
        <v>46.08</v>
      </c>
    </row>
    <row r="89" spans="2:13" ht="15" customHeight="1" x14ac:dyDescent="0.2">
      <c r="B89" s="219">
        <v>45877</v>
      </c>
      <c r="C89" s="176">
        <v>78</v>
      </c>
      <c r="D89" s="99" t="s">
        <v>53</v>
      </c>
      <c r="E89" s="109" t="s">
        <v>58</v>
      </c>
      <c r="F89" s="110" t="s">
        <v>132</v>
      </c>
      <c r="G89" s="52" t="s">
        <v>238</v>
      </c>
      <c r="H89" s="100">
        <v>580</v>
      </c>
      <c r="I89" s="111"/>
      <c r="J89" s="162">
        <v>580</v>
      </c>
      <c r="K89" s="100"/>
      <c r="L89" s="111"/>
      <c r="M89" s="291"/>
    </row>
    <row r="90" spans="2:13" ht="15" customHeight="1" x14ac:dyDescent="0.2">
      <c r="B90" s="221">
        <v>45877</v>
      </c>
      <c r="C90" s="176">
        <v>79</v>
      </c>
      <c r="D90" s="212" t="s">
        <v>53</v>
      </c>
      <c r="E90" s="109" t="s">
        <v>58</v>
      </c>
      <c r="F90" s="213" t="s">
        <v>165</v>
      </c>
      <c r="G90" s="52" t="s">
        <v>238</v>
      </c>
      <c r="H90" s="100">
        <v>120</v>
      </c>
      <c r="I90" s="216"/>
      <c r="J90" s="217">
        <v>120</v>
      </c>
      <c r="K90" s="215"/>
      <c r="L90" s="216"/>
      <c r="M90" s="293"/>
    </row>
    <row r="91" spans="2:13" ht="15" customHeight="1" x14ac:dyDescent="0.2">
      <c r="B91" s="223">
        <v>45901</v>
      </c>
      <c r="C91" s="176">
        <f t="shared" ref="C91:C118" si="5">C90+1</f>
        <v>80</v>
      </c>
      <c r="D91" s="99" t="s">
        <v>53</v>
      </c>
      <c r="E91" s="109" t="s">
        <v>58</v>
      </c>
      <c r="F91" s="110" t="s">
        <v>183</v>
      </c>
      <c r="H91" s="100"/>
      <c r="I91" s="111">
        <v>0.01</v>
      </c>
      <c r="J91" s="101">
        <v>0.01</v>
      </c>
      <c r="K91" s="111"/>
      <c r="L91" s="111"/>
      <c r="M91" s="291"/>
    </row>
    <row r="92" spans="2:13" ht="15" customHeight="1" x14ac:dyDescent="0.2">
      <c r="B92" s="219">
        <v>45903</v>
      </c>
      <c r="C92" s="176">
        <v>81</v>
      </c>
      <c r="D92" s="99" t="s">
        <v>53</v>
      </c>
      <c r="E92" s="109" t="s">
        <v>58</v>
      </c>
      <c r="F92" s="110" t="s">
        <v>132</v>
      </c>
      <c r="G92" s="52" t="s">
        <v>240</v>
      </c>
      <c r="H92" s="100">
        <v>580</v>
      </c>
      <c r="I92" s="111"/>
      <c r="J92" s="162">
        <v>580</v>
      </c>
      <c r="K92" s="100"/>
      <c r="L92" s="111"/>
      <c r="M92" s="291"/>
    </row>
    <row r="93" spans="2:13" ht="15" customHeight="1" x14ac:dyDescent="0.2">
      <c r="B93" s="219">
        <v>45903</v>
      </c>
      <c r="C93" s="176">
        <v>82</v>
      </c>
      <c r="D93" s="212" t="s">
        <v>53</v>
      </c>
      <c r="E93" s="109" t="s">
        <v>58</v>
      </c>
      <c r="F93" s="213" t="s">
        <v>165</v>
      </c>
      <c r="G93" s="52" t="s">
        <v>240</v>
      </c>
      <c r="H93" s="100">
        <v>120</v>
      </c>
      <c r="I93" s="216"/>
      <c r="J93" s="217">
        <v>120</v>
      </c>
      <c r="K93" s="100"/>
      <c r="L93" s="111"/>
      <c r="M93" s="291"/>
    </row>
    <row r="94" spans="2:13" ht="15" customHeight="1" x14ac:dyDescent="0.2">
      <c r="B94" s="219">
        <v>45903</v>
      </c>
      <c r="C94" s="176">
        <v>83</v>
      </c>
      <c r="D94" s="185" t="s">
        <v>57</v>
      </c>
      <c r="E94" s="184" t="s">
        <v>58</v>
      </c>
      <c r="F94" s="170" t="s">
        <v>135</v>
      </c>
      <c r="G94" s="186"/>
      <c r="H94" s="187"/>
      <c r="I94" s="172"/>
      <c r="J94" s="162"/>
      <c r="K94" s="102"/>
      <c r="L94" s="111">
        <v>550.22</v>
      </c>
      <c r="M94" s="111">
        <v>550.22</v>
      </c>
    </row>
    <row r="95" spans="2:13" ht="15" customHeight="1" x14ac:dyDescent="0.2">
      <c r="B95" s="219">
        <v>45903</v>
      </c>
      <c r="C95" s="176">
        <v>84</v>
      </c>
      <c r="D95" s="185" t="s">
        <v>53</v>
      </c>
      <c r="E95" s="184" t="s">
        <v>59</v>
      </c>
      <c r="F95" s="170" t="s">
        <v>131</v>
      </c>
      <c r="G95" s="186"/>
      <c r="H95" s="187"/>
      <c r="I95" s="172">
        <v>550.22</v>
      </c>
      <c r="J95" s="172">
        <v>550.22</v>
      </c>
      <c r="K95" s="102"/>
      <c r="L95" s="111"/>
      <c r="M95" s="111"/>
    </row>
    <row r="96" spans="2:13" ht="15" customHeight="1" x14ac:dyDescent="0.2">
      <c r="B96" s="219">
        <v>45903</v>
      </c>
      <c r="C96" s="176">
        <v>85</v>
      </c>
      <c r="D96" s="99" t="s">
        <v>57</v>
      </c>
      <c r="E96" s="109" t="s">
        <v>59</v>
      </c>
      <c r="F96" s="110" t="s">
        <v>137</v>
      </c>
      <c r="G96" s="52" t="s">
        <v>238</v>
      </c>
      <c r="H96" s="100"/>
      <c r="I96" s="111"/>
      <c r="J96" s="101"/>
      <c r="K96" s="225">
        <v>31.5</v>
      </c>
      <c r="L96" s="225"/>
      <c r="M96" s="225">
        <v>31.5</v>
      </c>
    </row>
    <row r="97" spans="2:13" ht="15" customHeight="1" x14ac:dyDescent="0.2">
      <c r="B97" s="219">
        <v>45903</v>
      </c>
      <c r="C97" s="176">
        <v>86</v>
      </c>
      <c r="D97" s="99" t="s">
        <v>57</v>
      </c>
      <c r="E97" s="109" t="s">
        <v>59</v>
      </c>
      <c r="F97" s="110" t="s">
        <v>168</v>
      </c>
      <c r="H97" s="100"/>
      <c r="I97" s="111"/>
      <c r="J97" s="101"/>
      <c r="K97" s="102">
        <v>153</v>
      </c>
      <c r="L97" s="111"/>
      <c r="M97" s="291">
        <v>153</v>
      </c>
    </row>
    <row r="98" spans="2:13" ht="15" customHeight="1" x14ac:dyDescent="0.2">
      <c r="B98" s="219">
        <v>45903</v>
      </c>
      <c r="C98" s="176">
        <f t="shared" si="5"/>
        <v>87</v>
      </c>
      <c r="D98" s="99" t="s">
        <v>57</v>
      </c>
      <c r="E98" s="109" t="s">
        <v>59</v>
      </c>
      <c r="F98" s="161" t="s">
        <v>169</v>
      </c>
      <c r="H98" s="100"/>
      <c r="I98" s="111"/>
      <c r="J98" s="101"/>
      <c r="K98" s="189">
        <v>15.72</v>
      </c>
      <c r="L98" s="111"/>
      <c r="M98" s="292">
        <v>15.72</v>
      </c>
    </row>
    <row r="99" spans="2:13" ht="15" customHeight="1" x14ac:dyDescent="0.2">
      <c r="B99" s="219">
        <v>45903</v>
      </c>
      <c r="C99" s="176">
        <f t="shared" si="5"/>
        <v>88</v>
      </c>
      <c r="D99" s="185" t="s">
        <v>57</v>
      </c>
      <c r="E99" s="184" t="s">
        <v>59</v>
      </c>
      <c r="F99" s="170" t="s">
        <v>182</v>
      </c>
      <c r="G99" s="186"/>
      <c r="H99" s="187"/>
      <c r="I99" s="172"/>
      <c r="J99" s="162"/>
      <c r="K99" s="111"/>
      <c r="L99" s="111">
        <v>350</v>
      </c>
      <c r="M99" s="291">
        <v>350</v>
      </c>
    </row>
    <row r="100" spans="2:13" ht="15" customHeight="1" x14ac:dyDescent="0.2">
      <c r="B100" s="223">
        <v>45931</v>
      </c>
      <c r="C100" s="176">
        <f t="shared" si="5"/>
        <v>89</v>
      </c>
      <c r="D100" s="99" t="s">
        <v>53</v>
      </c>
      <c r="E100" s="109" t="s">
        <v>58</v>
      </c>
      <c r="F100" s="110" t="s">
        <v>183</v>
      </c>
      <c r="H100" s="100"/>
      <c r="I100" s="111">
        <v>0.01</v>
      </c>
      <c r="J100" s="101">
        <v>0.01</v>
      </c>
      <c r="K100" s="111"/>
      <c r="L100" s="111"/>
      <c r="M100" s="291"/>
    </row>
    <row r="101" spans="2:13" ht="15" customHeight="1" x14ac:dyDescent="0.2">
      <c r="B101" s="219">
        <v>45933</v>
      </c>
      <c r="C101" s="176">
        <v>90</v>
      </c>
      <c r="D101" s="99" t="s">
        <v>53</v>
      </c>
      <c r="E101" s="109" t="s">
        <v>58</v>
      </c>
      <c r="F101" s="110" t="s">
        <v>132</v>
      </c>
      <c r="G101" s="52" t="s">
        <v>241</v>
      </c>
      <c r="H101" s="100">
        <v>0</v>
      </c>
      <c r="I101" s="111"/>
      <c r="J101" s="162">
        <v>0</v>
      </c>
      <c r="K101" s="100"/>
      <c r="L101" s="111"/>
      <c r="M101" s="291"/>
    </row>
    <row r="102" spans="2:13" ht="15" customHeight="1" x14ac:dyDescent="0.2">
      <c r="B102" s="219">
        <v>45933</v>
      </c>
      <c r="C102" s="176">
        <v>91</v>
      </c>
      <c r="D102" s="212" t="s">
        <v>53</v>
      </c>
      <c r="E102" s="109" t="s">
        <v>58</v>
      </c>
      <c r="F102" s="213" t="s">
        <v>165</v>
      </c>
      <c r="G102" s="52" t="s">
        <v>241</v>
      </c>
      <c r="H102" s="100">
        <v>0</v>
      </c>
      <c r="I102" s="216"/>
      <c r="J102" s="217">
        <v>0</v>
      </c>
      <c r="K102" s="100"/>
      <c r="L102" s="111"/>
      <c r="M102" s="291"/>
    </row>
    <row r="103" spans="2:13" ht="15" customHeight="1" x14ac:dyDescent="0.2">
      <c r="B103" s="219">
        <v>45933</v>
      </c>
      <c r="C103" s="176">
        <v>92</v>
      </c>
      <c r="D103" s="185" t="s">
        <v>57</v>
      </c>
      <c r="E103" s="184" t="s">
        <v>58</v>
      </c>
      <c r="F103" s="170" t="s">
        <v>135</v>
      </c>
      <c r="G103" s="186"/>
      <c r="H103" s="187"/>
      <c r="I103" s="172"/>
      <c r="J103" s="162"/>
      <c r="K103" s="102"/>
      <c r="L103" s="111">
        <v>596.29999999999995</v>
      </c>
      <c r="M103" s="111">
        <v>596.29999999999995</v>
      </c>
    </row>
    <row r="104" spans="2:13" ht="15" customHeight="1" x14ac:dyDescent="0.2">
      <c r="B104" s="219">
        <v>45933</v>
      </c>
      <c r="C104" s="176">
        <f t="shared" si="5"/>
        <v>93</v>
      </c>
      <c r="D104" s="185" t="s">
        <v>53</v>
      </c>
      <c r="E104" s="184" t="s">
        <v>59</v>
      </c>
      <c r="F104" s="170" t="s">
        <v>131</v>
      </c>
      <c r="G104" s="186"/>
      <c r="H104" s="187"/>
      <c r="I104" s="172">
        <v>596.29999999999995</v>
      </c>
      <c r="J104" s="172">
        <v>596.29999999999995</v>
      </c>
      <c r="K104" s="102"/>
      <c r="L104" s="111"/>
      <c r="M104" s="111"/>
    </row>
    <row r="105" spans="2:13" ht="15" customHeight="1" x14ac:dyDescent="0.2">
      <c r="B105" s="219">
        <v>45933</v>
      </c>
      <c r="C105" s="176">
        <f t="shared" si="5"/>
        <v>94</v>
      </c>
      <c r="D105" s="99" t="s">
        <v>57</v>
      </c>
      <c r="E105" s="109" t="s">
        <v>59</v>
      </c>
      <c r="F105" s="110" t="s">
        <v>137</v>
      </c>
      <c r="G105" s="52" t="s">
        <v>240</v>
      </c>
      <c r="H105" s="100"/>
      <c r="I105" s="111"/>
      <c r="J105" s="101"/>
      <c r="K105" s="225">
        <v>31.5</v>
      </c>
      <c r="L105" s="225"/>
      <c r="M105" s="225">
        <v>31.5</v>
      </c>
    </row>
    <row r="106" spans="2:13" ht="15" customHeight="1" x14ac:dyDescent="0.2">
      <c r="B106" s="219">
        <v>45933</v>
      </c>
      <c r="C106" s="176">
        <f t="shared" si="5"/>
        <v>95</v>
      </c>
      <c r="D106" s="99" t="s">
        <v>57</v>
      </c>
      <c r="E106" s="109" t="s">
        <v>59</v>
      </c>
      <c r="F106" s="110" t="s">
        <v>168</v>
      </c>
      <c r="H106" s="100"/>
      <c r="I106" s="111"/>
      <c r="J106" s="101"/>
      <c r="K106" s="102">
        <v>153</v>
      </c>
      <c r="L106" s="111"/>
      <c r="M106" s="291">
        <v>153</v>
      </c>
    </row>
    <row r="107" spans="2:13" ht="15" customHeight="1" x14ac:dyDescent="0.2">
      <c r="B107" s="219">
        <v>45933</v>
      </c>
      <c r="C107" s="176">
        <f t="shared" si="5"/>
        <v>96</v>
      </c>
      <c r="D107" s="99" t="s">
        <v>57</v>
      </c>
      <c r="E107" s="109" t="s">
        <v>59</v>
      </c>
      <c r="F107" s="161" t="s">
        <v>169</v>
      </c>
      <c r="H107" s="100"/>
      <c r="I107" s="111"/>
      <c r="J107" s="101"/>
      <c r="K107" s="189">
        <v>15.72</v>
      </c>
      <c r="L107" s="111"/>
      <c r="M107" s="292">
        <v>15.72</v>
      </c>
    </row>
    <row r="108" spans="2:13" ht="15" customHeight="1" x14ac:dyDescent="0.2">
      <c r="B108" s="219">
        <v>45933</v>
      </c>
      <c r="C108" s="176">
        <f t="shared" si="5"/>
        <v>97</v>
      </c>
      <c r="D108" s="185" t="s">
        <v>57</v>
      </c>
      <c r="E108" s="184" t="s">
        <v>59</v>
      </c>
      <c r="F108" s="170" t="s">
        <v>182</v>
      </c>
      <c r="G108" s="186"/>
      <c r="H108" s="187"/>
      <c r="I108" s="172"/>
      <c r="J108" s="162"/>
      <c r="K108" s="111"/>
      <c r="L108" s="111">
        <v>350</v>
      </c>
      <c r="M108" s="291">
        <v>350</v>
      </c>
    </row>
    <row r="109" spans="2:13" ht="15" customHeight="1" x14ac:dyDescent="0.2">
      <c r="B109" s="219">
        <v>45933</v>
      </c>
      <c r="C109" s="176">
        <f t="shared" si="5"/>
        <v>98</v>
      </c>
      <c r="D109" s="99" t="s">
        <v>57</v>
      </c>
      <c r="E109" s="109" t="s">
        <v>59</v>
      </c>
      <c r="F109" s="110" t="s">
        <v>181</v>
      </c>
      <c r="G109" s="52" t="s">
        <v>242</v>
      </c>
      <c r="H109" s="100"/>
      <c r="I109" s="111"/>
      <c r="J109" s="100"/>
      <c r="K109" s="102">
        <v>46.08</v>
      </c>
      <c r="L109" s="111"/>
      <c r="M109" s="291">
        <v>46.08</v>
      </c>
    </row>
    <row r="110" spans="2:13" ht="15" customHeight="1" x14ac:dyDescent="0.2">
      <c r="B110" s="219">
        <v>45936</v>
      </c>
      <c r="C110" s="176">
        <f t="shared" si="5"/>
        <v>99</v>
      </c>
      <c r="D110" s="99" t="s">
        <v>53</v>
      </c>
      <c r="E110" s="109" t="s">
        <v>58</v>
      </c>
      <c r="F110" s="110" t="s">
        <v>132</v>
      </c>
      <c r="G110" s="52" t="s">
        <v>241</v>
      </c>
      <c r="H110" s="100">
        <v>580</v>
      </c>
      <c r="I110" s="111"/>
      <c r="J110" s="162">
        <v>580</v>
      </c>
      <c r="K110" s="224"/>
      <c r="L110" s="225"/>
      <c r="M110" s="226"/>
    </row>
    <row r="111" spans="2:13" ht="15" customHeight="1" x14ac:dyDescent="0.2">
      <c r="B111" s="219">
        <v>45936</v>
      </c>
      <c r="C111" s="176">
        <f t="shared" si="5"/>
        <v>100</v>
      </c>
      <c r="D111" s="212" t="s">
        <v>53</v>
      </c>
      <c r="E111" s="109" t="s">
        <v>58</v>
      </c>
      <c r="F111" s="213" t="s">
        <v>165</v>
      </c>
      <c r="G111" s="52" t="s">
        <v>241</v>
      </c>
      <c r="H111" s="100">
        <v>120</v>
      </c>
      <c r="I111" s="216"/>
      <c r="J111" s="217">
        <v>120</v>
      </c>
      <c r="K111" s="215"/>
      <c r="L111" s="216"/>
      <c r="M111" s="218"/>
    </row>
    <row r="112" spans="2:13" ht="15" customHeight="1" x14ac:dyDescent="0.2">
      <c r="B112" s="223">
        <v>45962</v>
      </c>
      <c r="C112" s="176">
        <f t="shared" si="5"/>
        <v>101</v>
      </c>
      <c r="D112" s="99" t="s">
        <v>53</v>
      </c>
      <c r="E112" s="109" t="s">
        <v>58</v>
      </c>
      <c r="F112" s="110" t="s">
        <v>183</v>
      </c>
      <c r="H112" s="100"/>
      <c r="I112" s="111">
        <v>0.01</v>
      </c>
      <c r="J112" s="101">
        <v>0.01</v>
      </c>
      <c r="K112" s="111"/>
      <c r="L112" s="111"/>
      <c r="M112" s="291"/>
    </row>
    <row r="113" spans="2:13" ht="15" customHeight="1" x14ac:dyDescent="0.2">
      <c r="B113" s="219">
        <v>45964</v>
      </c>
      <c r="C113" s="176">
        <f t="shared" si="5"/>
        <v>102</v>
      </c>
      <c r="D113" s="185" t="s">
        <v>57</v>
      </c>
      <c r="E113" s="184" t="s">
        <v>58</v>
      </c>
      <c r="F113" s="170" t="s">
        <v>135</v>
      </c>
      <c r="G113" s="186"/>
      <c r="H113" s="187"/>
      <c r="I113" s="172"/>
      <c r="J113" s="162"/>
      <c r="K113" s="102"/>
      <c r="L113" s="111">
        <v>550.22</v>
      </c>
      <c r="M113" s="111">
        <v>550.22</v>
      </c>
    </row>
    <row r="114" spans="2:13" ht="15" customHeight="1" x14ac:dyDescent="0.2">
      <c r="B114" s="219">
        <v>45964</v>
      </c>
      <c r="C114" s="176">
        <f t="shared" si="5"/>
        <v>103</v>
      </c>
      <c r="D114" s="185" t="s">
        <v>53</v>
      </c>
      <c r="E114" s="184" t="s">
        <v>59</v>
      </c>
      <c r="F114" s="170" t="s">
        <v>131</v>
      </c>
      <c r="G114" s="186"/>
      <c r="H114" s="187"/>
      <c r="I114" s="172">
        <v>550.22</v>
      </c>
      <c r="J114" s="172">
        <v>550.22</v>
      </c>
      <c r="K114" s="102"/>
      <c r="L114" s="111"/>
      <c r="M114" s="111"/>
    </row>
    <row r="115" spans="2:13" ht="15" customHeight="1" x14ac:dyDescent="0.2">
      <c r="B115" s="219">
        <v>45964</v>
      </c>
      <c r="C115" s="176">
        <f t="shared" si="5"/>
        <v>104</v>
      </c>
      <c r="D115" s="99" t="s">
        <v>57</v>
      </c>
      <c r="E115" s="109" t="s">
        <v>59</v>
      </c>
      <c r="F115" s="110" t="s">
        <v>137</v>
      </c>
      <c r="G115" s="52" t="s">
        <v>241</v>
      </c>
      <c r="H115" s="100"/>
      <c r="I115" s="111"/>
      <c r="J115" s="101"/>
      <c r="K115" s="225">
        <v>31.5</v>
      </c>
      <c r="L115" s="225"/>
      <c r="M115" s="225">
        <v>31.5</v>
      </c>
    </row>
    <row r="116" spans="2:13" ht="15" customHeight="1" x14ac:dyDescent="0.2">
      <c r="B116" s="219">
        <v>45964</v>
      </c>
      <c r="C116" s="176">
        <f t="shared" si="5"/>
        <v>105</v>
      </c>
      <c r="D116" s="99" t="s">
        <v>57</v>
      </c>
      <c r="E116" s="109" t="s">
        <v>59</v>
      </c>
      <c r="F116" s="110" t="s">
        <v>168</v>
      </c>
      <c r="H116" s="100"/>
      <c r="I116" s="111"/>
      <c r="J116" s="101"/>
      <c r="K116" s="102">
        <v>153</v>
      </c>
      <c r="L116" s="111"/>
      <c r="M116" s="291">
        <v>153</v>
      </c>
    </row>
    <row r="117" spans="2:13" ht="15" customHeight="1" x14ac:dyDescent="0.2">
      <c r="B117" s="219">
        <v>45964</v>
      </c>
      <c r="C117" s="176">
        <f t="shared" si="5"/>
        <v>106</v>
      </c>
      <c r="D117" s="99" t="s">
        <v>57</v>
      </c>
      <c r="E117" s="109" t="s">
        <v>59</v>
      </c>
      <c r="F117" s="161" t="s">
        <v>169</v>
      </c>
      <c r="H117" s="100"/>
      <c r="I117" s="111"/>
      <c r="J117" s="101"/>
      <c r="K117" s="189">
        <v>15.72</v>
      </c>
      <c r="L117" s="111"/>
      <c r="M117" s="292">
        <v>15.72</v>
      </c>
    </row>
    <row r="118" spans="2:13" ht="15" customHeight="1" x14ac:dyDescent="0.2">
      <c r="B118" s="219">
        <v>45964</v>
      </c>
      <c r="C118" s="176">
        <f t="shared" si="5"/>
        <v>107</v>
      </c>
      <c r="D118" s="185" t="s">
        <v>57</v>
      </c>
      <c r="E118" s="184" t="s">
        <v>59</v>
      </c>
      <c r="F118" s="170" t="s">
        <v>182</v>
      </c>
      <c r="G118" s="186"/>
      <c r="H118" s="187"/>
      <c r="I118" s="172"/>
      <c r="J118" s="162"/>
      <c r="K118" s="111"/>
      <c r="L118" s="111">
        <v>350</v>
      </c>
      <c r="M118" s="291">
        <v>350</v>
      </c>
    </row>
    <row r="119" spans="2:13" ht="15" customHeight="1" x14ac:dyDescent="0.2">
      <c r="B119" s="219"/>
      <c r="C119" s="176"/>
      <c r="D119" s="99"/>
      <c r="E119" s="109"/>
      <c r="F119" s="110"/>
      <c r="H119" s="100"/>
      <c r="I119" s="111"/>
      <c r="J119" s="101"/>
      <c r="K119" s="111"/>
      <c r="L119" s="216"/>
      <c r="M119" s="103"/>
    </row>
    <row r="120" spans="2:13" ht="15" customHeight="1" x14ac:dyDescent="0.2">
      <c r="B120" s="219"/>
      <c r="C120" s="176"/>
      <c r="D120" s="99"/>
      <c r="E120" s="109"/>
      <c r="F120" s="110"/>
      <c r="H120" s="100"/>
      <c r="I120" s="111"/>
      <c r="J120" s="101"/>
      <c r="K120" s="111"/>
      <c r="L120" s="216"/>
      <c r="M120" s="103"/>
    </row>
    <row r="121" spans="2:13" ht="15" customHeight="1" x14ac:dyDescent="0.2">
      <c r="B121" s="222">
        <v>45657</v>
      </c>
      <c r="C121" s="206">
        <v>100</v>
      </c>
      <c r="D121" s="202" t="s">
        <v>119</v>
      </c>
      <c r="E121" s="201" t="s">
        <v>54</v>
      </c>
      <c r="F121" s="203" t="s">
        <v>143</v>
      </c>
      <c r="G121" s="52" t="s">
        <v>175</v>
      </c>
      <c r="H121" s="204"/>
      <c r="I121" s="207"/>
      <c r="J121" s="162"/>
      <c r="K121" s="208">
        <v>5768</v>
      </c>
      <c r="L121" s="207"/>
      <c r="M121" s="205">
        <f>K121+L121</f>
        <v>5768</v>
      </c>
    </row>
  </sheetData>
  <sheetProtection formatCells="0" formatColumns="0" formatRows="0" insertColumns="0" insertRows="0" insertHyperlinks="0" deleteColumns="0" deleteRows="0" selectLockedCells="1" sort="0" autoFilter="0" pivotTables="0"/>
  <mergeCells count="11">
    <mergeCell ref="C7:D7"/>
    <mergeCell ref="H9:J9"/>
    <mergeCell ref="K9:M9"/>
    <mergeCell ref="B2:E2"/>
    <mergeCell ref="H2:I2"/>
    <mergeCell ref="J2:M2"/>
    <mergeCell ref="B3:E3"/>
    <mergeCell ref="C5:D5"/>
    <mergeCell ref="M5:M6"/>
    <mergeCell ref="C6:D6"/>
    <mergeCell ref="C8:D8"/>
  </mergeCells>
  <phoneticPr fontId="57" type="noConversion"/>
  <conditionalFormatting sqref="B12:F121">
    <cfRule type="containsBlanks" dxfId="91" priority="74">
      <formula>LEN(TRIM(B12))=0</formula>
    </cfRule>
  </conditionalFormatting>
  <conditionalFormatting sqref="H12:J121">
    <cfRule type="expression" dxfId="90" priority="73">
      <formula>$D12="Výdaj"</formula>
    </cfRule>
  </conditionalFormatting>
  <conditionalFormatting sqref="J12:J121">
    <cfRule type="expression" dxfId="89" priority="443">
      <formula>H12+I12&lt;&gt;J12</formula>
    </cfRule>
  </conditionalFormatting>
  <conditionalFormatting sqref="K33">
    <cfRule type="expression" dxfId="88" priority="56">
      <formula>$D33="Príjem"</formula>
    </cfRule>
  </conditionalFormatting>
  <conditionalFormatting sqref="K35">
    <cfRule type="expression" dxfId="87" priority="57">
      <formula>$D35="Príjem"</formula>
    </cfRule>
  </conditionalFormatting>
  <conditionalFormatting sqref="K43">
    <cfRule type="expression" dxfId="86" priority="48">
      <formula>$D43="Príjem"</formula>
    </cfRule>
  </conditionalFormatting>
  <conditionalFormatting sqref="K45">
    <cfRule type="expression" dxfId="85" priority="49">
      <formula>$D45="Príjem"</formula>
    </cfRule>
  </conditionalFormatting>
  <conditionalFormatting sqref="K69:K72">
    <cfRule type="expression" dxfId="84" priority="39">
      <formula>$D69="Príjem"</formula>
    </cfRule>
  </conditionalFormatting>
  <conditionalFormatting sqref="K78:K80">
    <cfRule type="expression" dxfId="83" priority="34">
      <formula>$D78="Príjem"</formula>
    </cfRule>
  </conditionalFormatting>
  <conditionalFormatting sqref="K85:K87">
    <cfRule type="expression" dxfId="82" priority="29">
      <formula>$D85="Príjem"</formula>
    </cfRule>
  </conditionalFormatting>
  <conditionalFormatting sqref="K97:K99">
    <cfRule type="expression" dxfId="81" priority="21">
      <formula>$D97="Príjem"</formula>
    </cfRule>
  </conditionalFormatting>
  <conditionalFormatting sqref="K106:K108">
    <cfRule type="expression" dxfId="80" priority="15">
      <formula>$D106="Príjem"</formula>
    </cfRule>
  </conditionalFormatting>
  <conditionalFormatting sqref="K115:K118">
    <cfRule type="expression" dxfId="79" priority="6">
      <formula>$D115="Príjem"</formula>
    </cfRule>
  </conditionalFormatting>
  <conditionalFormatting sqref="K43:M44">
    <cfRule type="expression" dxfId="78" priority="50">
      <formula>$D43="Príjem"</formula>
    </cfRule>
  </conditionalFormatting>
  <conditionalFormatting sqref="K47:M68">
    <cfRule type="expression" dxfId="77" priority="38">
      <formula>$D47="Príjem"</formula>
    </cfRule>
  </conditionalFormatting>
  <conditionalFormatting sqref="K75:M77">
    <cfRule type="expression" dxfId="76" priority="33">
      <formula>$D75="Príjem"</formula>
    </cfRule>
  </conditionalFormatting>
  <conditionalFormatting sqref="K82:M84">
    <cfRule type="expression" dxfId="75" priority="28">
      <formula>$D82="Príjem"</formula>
    </cfRule>
  </conditionalFormatting>
  <conditionalFormatting sqref="K88:M88">
    <cfRule type="expression" dxfId="74" priority="26">
      <formula>$D88="Príjem"</formula>
    </cfRule>
  </conditionalFormatting>
  <conditionalFormatting sqref="K94:M96">
    <cfRule type="expression" dxfId="73" priority="20">
      <formula>$D94="Príjem"</formula>
    </cfRule>
  </conditionalFormatting>
  <conditionalFormatting sqref="K103:M105">
    <cfRule type="expression" dxfId="72" priority="14">
      <formula>$D103="Príjem"</formula>
    </cfRule>
  </conditionalFormatting>
  <conditionalFormatting sqref="K109:M109">
    <cfRule type="expression" dxfId="71" priority="11">
      <formula>$D109="Príjem"</formula>
    </cfRule>
  </conditionalFormatting>
  <conditionalFormatting sqref="K113:M115">
    <cfRule type="expression" dxfId="70" priority="5">
      <formula>$D113="Príjem"</formula>
    </cfRule>
  </conditionalFormatting>
  <conditionalFormatting sqref="L65 L68:L70 K73:M73 L74:M74 L77:L79 L84:L86 K121:M121">
    <cfRule type="expression" dxfId="69" priority="72">
      <formula>$D65="Príjem"</formula>
    </cfRule>
  </conditionalFormatting>
  <conditionalFormatting sqref="L96:L98">
    <cfRule type="expression" dxfId="68" priority="25">
      <formula>$D96="Príjem"</formula>
    </cfRule>
  </conditionalFormatting>
  <conditionalFormatting sqref="L103">
    <cfRule type="expression" dxfId="67" priority="9">
      <formula>#REF!+#REF!&lt;&gt;#REF!</formula>
    </cfRule>
  </conditionalFormatting>
  <conditionalFormatting sqref="L105:L107">
    <cfRule type="expression" dxfId="66" priority="17">
      <formula>$D105="Príjem"</formula>
    </cfRule>
  </conditionalFormatting>
  <conditionalFormatting sqref="L113">
    <cfRule type="expression" dxfId="65" priority="3">
      <formula>#REF!+#REF!&lt;&gt;#REF!</formula>
    </cfRule>
  </conditionalFormatting>
  <conditionalFormatting sqref="L114:L117">
    <cfRule type="expression" dxfId="64" priority="8">
      <formula>$D114="Príjem"</formula>
    </cfRule>
  </conditionalFormatting>
  <conditionalFormatting sqref="L12:M26 K18 K24 K27:M27 K33:M34">
    <cfRule type="expression" dxfId="63" priority="59">
      <formula>$D12="Príjem"</formula>
    </cfRule>
  </conditionalFormatting>
  <conditionalFormatting sqref="L28:M33 L34:L35 L36:M43 L44:L45 L46:M46">
    <cfRule type="expression" dxfId="62" priority="58">
      <formula>$D28="Príjem"</formula>
    </cfRule>
  </conditionalFormatting>
  <conditionalFormatting sqref="L71:M72">
    <cfRule type="expression" dxfId="61" priority="42">
      <formula>$D71="Príjem"</formula>
    </cfRule>
  </conditionalFormatting>
  <conditionalFormatting sqref="L75:M75">
    <cfRule type="expression" dxfId="60" priority="32">
      <formula>#REF!+#REF!&lt;&gt;#REF!</formula>
    </cfRule>
  </conditionalFormatting>
  <conditionalFormatting sqref="L80:M81">
    <cfRule type="expression" dxfId="59" priority="35">
      <formula>$D80="Príjem"</formula>
    </cfRule>
  </conditionalFormatting>
  <conditionalFormatting sqref="L82:M82">
    <cfRule type="expression" dxfId="58" priority="27">
      <formula>#REF!+#REF!&lt;&gt;#REF!</formula>
    </cfRule>
  </conditionalFormatting>
  <conditionalFormatting sqref="L87:M87">
    <cfRule type="expression" dxfId="57" priority="30">
      <formula>$D87="Príjem"</formula>
    </cfRule>
  </conditionalFormatting>
  <conditionalFormatting sqref="L89:M93">
    <cfRule type="expression" dxfId="56" priority="18">
      <formula>$D89="Príjem"</formula>
    </cfRule>
  </conditionalFormatting>
  <conditionalFormatting sqref="L94:M94">
    <cfRule type="expression" dxfId="55" priority="19">
      <formula>#REF!+#REF!&lt;&gt;#REF!</formula>
    </cfRule>
  </conditionalFormatting>
  <conditionalFormatting sqref="L99:M102">
    <cfRule type="expression" dxfId="54" priority="12">
      <formula>$D99="Príjem"</formula>
    </cfRule>
  </conditionalFormatting>
  <conditionalFormatting sqref="L103:M103">
    <cfRule type="expression" dxfId="53" priority="13">
      <formula>#REF!+#REF!&lt;&gt;#REF!</formula>
    </cfRule>
  </conditionalFormatting>
  <conditionalFormatting sqref="L108:M108 L117:M120">
    <cfRule type="expression" dxfId="52" priority="22">
      <formula>$D108="Príjem"</formula>
    </cfRule>
  </conditionalFormatting>
  <conditionalFormatting sqref="L110:M112">
    <cfRule type="expression" dxfId="51" priority="1">
      <formula>$D110="Príjem"</formula>
    </cfRule>
  </conditionalFormatting>
  <conditionalFormatting sqref="L113:M113">
    <cfRule type="expression" dxfId="50" priority="2">
      <formula>#REF!+#REF!&lt;&gt;#REF!</formula>
    </cfRule>
  </conditionalFormatting>
  <conditionalFormatting sqref="M35">
    <cfRule type="expression" dxfId="49" priority="55">
      <formula>$D35="Príjem"</formula>
    </cfRule>
  </conditionalFormatting>
  <conditionalFormatting sqref="M45">
    <cfRule type="expression" dxfId="48" priority="47">
      <formula>$D45="Príjem"</formula>
    </cfRule>
  </conditionalFormatting>
  <conditionalFormatting sqref="M69:M70">
    <cfRule type="expression" dxfId="47" priority="43">
      <formula>$D69="Príjem"</formula>
    </cfRule>
  </conditionalFormatting>
  <conditionalFormatting sqref="M71:M76 M117:M121 M12:M33 M36:M43 M46:M64 M66:M67 M80:M83 M87:M95 M108:M114 M99:M104">
    <cfRule type="expression" dxfId="46" priority="464">
      <formula>#REF!+#REF!&lt;&gt;#REF!</formula>
    </cfRule>
  </conditionalFormatting>
  <conditionalFormatting sqref="M78:M79">
    <cfRule type="expression" dxfId="45" priority="36">
      <formula>$D78="Príjem"</formula>
    </cfRule>
  </conditionalFormatting>
  <conditionalFormatting sqref="M85:M86">
    <cfRule type="expression" dxfId="44" priority="31">
      <formula>$D85="Príjem"</formula>
    </cfRule>
  </conditionalFormatting>
  <conditionalFormatting sqref="M97:M98">
    <cfRule type="expression" dxfId="43" priority="23">
      <formula>$D97="Príjem"</formula>
    </cfRule>
  </conditionalFormatting>
  <conditionalFormatting sqref="M106:M107">
    <cfRule type="expression" dxfId="42" priority="16">
      <formula>$D106="Príjem"</formula>
    </cfRule>
  </conditionalFormatting>
  <conditionalFormatting sqref="M115:M117">
    <cfRule type="expression" dxfId="41" priority="7">
      <formula>$D115="Príjem"</formula>
    </cfRule>
  </conditionalFormatting>
  <dataValidations xWindow="250" yWindow="551" count="12">
    <dataValidation allowBlank="1" showInputMessage="1" showErrorMessage="1" prompt="Zadajte stav hotovosti k 1.1. účtovného obdobia" sqref="E5" xr:uid="{00000000-0002-0000-0000-000000000000}"/>
    <dataValidation allowBlank="1" showInputMessage="1" showErrorMessage="1" prompt="Zadajte stav bankového účtu 2 k 1.1. účtovného obdobia" sqref="E7" xr:uid="{00000000-0002-0000-0000-000001000000}"/>
    <dataValidation allowBlank="1" showInputMessage="1" showErrorMessage="1" prompt="Zadajte NEDAŇOVÚ sumu" sqref="L56 I80 I64:I69 I121 L121 L58:L59 I27 L27 L48:L52 I51:I57 L62:L64 J67 I71 I75:I78 J76 I87:I88 I82:I85 J83 L88 I99 I94:I97 J95 I108:I109 I103:I106 J104 L109 J114 I118 I113:I116" xr:uid="{00000000-0002-0000-0000-000002000000}"/>
    <dataValidation allowBlank="1" showInputMessage="1" showErrorMessage="1" prompt="Zadajte DAŇOVÚ sumu" sqref="K48:K63 L55 K24 K121 K18 J28:J29 K27 K33 K43 K103:K104 M106:M107 K106:K107 K66:K67 M69:M70 K73 K69:K70 L60:L61 J72:J73 K75:K76 K78:K79 M78:M79 M85:M86 K82:K83 K85:K86 K97:K98 M97:M98 K94:K95 K116:K117 M116:M117 H12:H121 K113:K114" xr:uid="{00000000-0002-0000-0000-000003000000}"/>
    <dataValidation allowBlank="1" showInputMessage="1" showErrorMessage="1" prompt="NEVYPĹŇAŤ. Súčtové pole" sqref="H10:M10 M55:M56 M121 M58:M63 M27 J13:J27 J30:J66 M48:M52 J68:J71 J74:J75 J77:J82 J84:J94 J96:J103 J115:J121 J105:J113" xr:uid="{00000000-0002-0000-0000-000004000000}"/>
    <dataValidation allowBlank="1" showInputMessage="1" showErrorMessage="1" prompt="NEVYPĹŇAŤ! " sqref="G5:G7" xr:uid="{00000000-0002-0000-0000-000007000000}"/>
    <dataValidation allowBlank="1" showInputMessage="1" showErrorMessage="1" prompt="NEVYPĹŇAŤ!" sqref="L5:M6" xr:uid="{00000000-0002-0000-0000-000008000000}"/>
    <dataValidation allowBlank="1" showInputMessage="1" showErrorMessage="1" prompt="Zadajte stav bankového účtu 1 k 1.1. účtovného obdobia" sqref="E6" xr:uid="{00000000-0002-0000-0000-000009000000}"/>
    <dataValidation allowBlank="1" showInputMessage="1" showErrorMessage="1" prompt="Zadajte sumu pohľadávky / záväzku" sqref="K34:K42 M64 K77 K96 M96 K119:K120 K12:K17 M34:M35 K19:K32 K44:K46 M44:M45 K64 K68 M68 K74 M77 M84 K84 K81 M88 K88:K93 K100:K102 K105 M105 M109 K109:K112 K115 M115" xr:uid="{C4287309-3E18-43D9-901B-27B00084F49A}"/>
    <dataValidation allowBlank="1" showInputMessage="1" showErrorMessage="1" prompt="Zadajte číslo dokladu" sqref="C12:C121" xr:uid="{00000000-0002-0000-0000-000005000000}"/>
    <dataValidation allowBlank="1" showInputMessage="1" showErrorMessage="1" prompt="Zadajte poznámku" sqref="G12:G121" xr:uid="{00000000-0002-0000-0000-000006000000}"/>
    <dataValidation type="list" allowBlank="1" showInputMessage="1" showErrorMessage="1" error="Vyberte popis transakcie zo zoznamu" prompt="Vyberte popis transakcie zo zoznamu" sqref="F12:F121" xr:uid="{00000000-0002-0000-0000-00000A000000}">
      <formula1>INDIRECT($D12)</formula1>
    </dataValidation>
  </dataValidations>
  <hyperlinks>
    <hyperlink ref="B2:E2" r:id="rId1" display="DAŇOVÁ EVIDENCIA" xr:uid="{00000000-0004-0000-0000-000000000000}"/>
    <hyperlink ref="F11" location="Zoznamy!A1" display="Popis transakcie" xr:uid="{00000000-0004-0000-0000-000001000000}"/>
    <hyperlink ref="H9:J9" location="Zoznamy!A1" display="PRÍJEM" xr:uid="{00000000-0004-0000-0000-000002000000}"/>
    <hyperlink ref="K9:M9" location="Zoznamy!A1" display="VÝDAJ" xr:uid="{00000000-0004-0000-0000-000003000000}"/>
    <hyperlink ref="F3" r:id="rId2" location="paragraf-6.odsek-11" xr:uid="{00000000-0004-0000-0000-000004000000}"/>
  </hyperlinks>
  <pageMargins left="0.70866141732283472" right="0.70866141732283472" top="0.74803149606299213" bottom="0.74803149606299213" header="0.31496062992125984" footer="0.31496062992125984"/>
  <pageSetup paperSize="9" scale="58" fitToHeight="0" orientation="landscape" blackAndWhite="1" r:id="rId3"/>
  <ignoredErrors>
    <ignoredError sqref="H10:M10 M121 C13:C22 C58:C60 C79:C88 C91 C98:C99 J45:J63 J32 J42" unlockedFormula="1"/>
    <ignoredError sqref="M99 M96:M98 M94 M78:M80 M82 M84:M88 J69:J100 J35:J36 J41 J64:J68 J103:J109 J119:J121" calculatedColumn="1"/>
    <ignoredError sqref="J33:J34 J37:J40" unlockedFormula="1" calculatedColumn="1"/>
  </ignoredErrors>
  <drawing r:id="rId4"/>
  <tableParts count="1">
    <tablePart r:id="rId5"/>
  </tableParts>
  <extLst>
    <ext xmlns:x14="http://schemas.microsoft.com/office/spreadsheetml/2009/9/main" uri="{CCE6A557-97BC-4b89-ADB6-D9C93CAAB3DF}">
      <x14:dataValidations xmlns:xm="http://schemas.microsoft.com/office/excel/2006/main" xWindow="250" yWindow="551" count="3">
        <x14:dataValidation type="list" allowBlank="1" showInputMessage="1" showErrorMessage="1" errorTitle="Vyberte možnosť" error="Vyberte možnosť z ponúknutého zoznamu" prompt="Vyberte zo zoznamu Pokladňa, Banka 1, Banka 2 alebo Interný doklad" xr:uid="{00000000-0002-0000-0000-00000B000000}">
          <x14:formula1>
            <xm:f>List!$C$4:$C$7</xm:f>
          </x14:formula1>
          <xm:sqref>E12:E121</xm:sqref>
        </x14:dataValidation>
        <x14:dataValidation type="list" allowBlank="1" showInputMessage="1" showErrorMessage="1" errorTitle="Vyberte možnosť" error="Vyberte možnosť z ponúknutého zoznamu" prompt="Vyberte druh dokladu zo zoznamu" xr:uid="{00000000-0002-0000-0000-00000C000000}">
          <x14:formula1>
            <xm:f>List!$B$4:$B$6</xm:f>
          </x14:formula1>
          <xm:sqref>D12:D121</xm:sqref>
        </x14:dataValidation>
        <x14:dataValidation type="date" allowBlank="1" showInputMessage="1" showErrorMessage="1" errorTitle="Nesprávny dátum" error="Zadajte dátum" prompt="Zadajte dátum" xr:uid="{00000000-0002-0000-0000-00000D000000}">
          <x14:formula1>
            <xm:f>List!$A$4</xm:f>
          </x14:formula1>
          <x14:formula2>
            <xm:f>List!$A$5</xm:f>
          </x14:formula2>
          <xm:sqref>B12:B121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90033"/>
    <pageSetUpPr fitToPage="1"/>
  </sheetPr>
  <dimension ref="A1:O25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9.140625" defaultRowHeight="15" customHeight="1" x14ac:dyDescent="0.2"/>
  <cols>
    <col min="1" max="1" width="3.42578125" style="40" customWidth="1"/>
    <col min="2" max="2" width="2.5703125" style="40" customWidth="1"/>
    <col min="3" max="3" width="16.42578125" style="40" customWidth="1"/>
    <col min="4" max="4" width="20.140625" style="40" customWidth="1"/>
    <col min="5" max="5" width="18.5703125" style="44" customWidth="1"/>
    <col min="6" max="6" width="3.5703125" style="52" customWidth="1"/>
    <col min="7" max="7" width="15" style="43" customWidth="1"/>
    <col min="8" max="8" width="28.42578125" style="40" customWidth="1"/>
    <col min="9" max="9" width="30.42578125" style="40" customWidth="1"/>
    <col min="10" max="10" width="14" style="52" customWidth="1"/>
    <col min="11" max="11" width="14.5703125" style="42" customWidth="1"/>
    <col min="12" max="12" width="17.42578125" style="43" customWidth="1"/>
    <col min="13" max="13" width="17.140625" style="42" customWidth="1"/>
    <col min="14" max="14" width="18.85546875" style="42" customWidth="1"/>
    <col min="15" max="15" width="3.42578125" style="40" customWidth="1"/>
    <col min="16" max="16384" width="9.140625" style="40"/>
  </cols>
  <sheetData>
    <row r="1" spans="1:15" s="20" customFormat="1" ht="8.25" customHeight="1" x14ac:dyDescent="0.2">
      <c r="E1" s="82"/>
      <c r="F1" s="76"/>
      <c r="G1" s="83"/>
      <c r="J1" s="76"/>
      <c r="K1" s="77"/>
      <c r="L1" s="83"/>
      <c r="M1" s="77"/>
      <c r="N1" s="77"/>
    </row>
    <row r="2" spans="1:15" s="79" customFormat="1" ht="39" customHeight="1" x14ac:dyDescent="0.3">
      <c r="A2" s="78"/>
      <c r="B2" s="319" t="s">
        <v>38</v>
      </c>
      <c r="C2" s="319"/>
      <c r="D2" s="319"/>
      <c r="E2" s="319"/>
      <c r="F2" s="84"/>
      <c r="G2" s="318" t="str">
        <f>List!G4</f>
        <v/>
      </c>
      <c r="H2" s="318"/>
      <c r="I2" s="75" t="str">
        <f>List!G5</f>
        <v/>
      </c>
      <c r="J2" s="303" t="str">
        <f>List!G6</f>
        <v/>
      </c>
      <c r="K2" s="303"/>
      <c r="L2" s="317" t="str">
        <f>List!G7</f>
        <v/>
      </c>
      <c r="M2" s="317"/>
      <c r="N2" s="317"/>
      <c r="O2" s="78"/>
    </row>
    <row r="3" spans="1:15" s="20" customFormat="1" ht="24.75" x14ac:dyDescent="0.2">
      <c r="A3" s="18"/>
      <c r="B3" s="305" t="s">
        <v>148</v>
      </c>
      <c r="C3" s="305"/>
      <c r="D3" s="305"/>
      <c r="E3" s="305"/>
      <c r="F3" s="126"/>
      <c r="G3" s="321" t="s">
        <v>39</v>
      </c>
      <c r="H3" s="321"/>
      <c r="I3" s="125"/>
      <c r="J3" s="125"/>
      <c r="K3" s="125"/>
      <c r="L3" s="125"/>
      <c r="M3" s="125"/>
      <c r="N3" s="18"/>
      <c r="O3" s="18"/>
    </row>
    <row r="4" spans="1:15" s="20" customFormat="1" ht="21.75" customHeight="1" x14ac:dyDescent="0.2">
      <c r="A4" s="18"/>
      <c r="B4" s="21"/>
      <c r="C4" s="21"/>
      <c r="D4" s="21"/>
      <c r="E4" s="21"/>
      <c r="F4" s="18"/>
      <c r="G4" s="49"/>
      <c r="H4" s="24"/>
      <c r="I4" s="24"/>
      <c r="J4" s="24"/>
      <c r="K4" s="24"/>
      <c r="L4" s="24"/>
      <c r="M4" s="19"/>
      <c r="N4" s="18"/>
      <c r="O4" s="18"/>
    </row>
    <row r="5" spans="1:15" s="31" customFormat="1" ht="16.5" customHeight="1" x14ac:dyDescent="0.2">
      <c r="A5" s="33"/>
      <c r="B5" s="21"/>
      <c r="C5" s="21"/>
      <c r="D5" s="21"/>
      <c r="E5" s="23"/>
      <c r="F5" s="21"/>
      <c r="G5" s="22"/>
      <c r="H5" s="21"/>
      <c r="I5" s="21"/>
      <c r="J5" s="21"/>
      <c r="K5" s="30"/>
      <c r="L5" s="29"/>
      <c r="M5" s="30"/>
      <c r="N5" s="30"/>
      <c r="O5" s="33"/>
    </row>
    <row r="6" spans="1:15" s="31" customFormat="1" ht="16.5" customHeight="1" x14ac:dyDescent="0.2">
      <c r="A6" s="33"/>
      <c r="B6" s="21"/>
      <c r="C6" s="25">
        <v>45658</v>
      </c>
      <c r="D6" s="306" t="s">
        <v>13</v>
      </c>
      <c r="E6" s="307"/>
      <c r="F6" s="315">
        <v>0</v>
      </c>
      <c r="G6" s="316"/>
      <c r="H6" s="33"/>
      <c r="I6" s="33"/>
      <c r="J6" s="25">
        <v>46022</v>
      </c>
      <c r="K6" s="306" t="s">
        <v>19</v>
      </c>
      <c r="L6" s="320"/>
      <c r="M6" s="307"/>
      <c r="N6" s="27">
        <f>'Prehľad MaZ'!C31</f>
        <v>0</v>
      </c>
      <c r="O6" s="33"/>
    </row>
    <row r="7" spans="1:15" s="31" customFormat="1" ht="16.5" customHeight="1" x14ac:dyDescent="0.2">
      <c r="A7" s="33"/>
      <c r="B7" s="21"/>
      <c r="C7" s="25">
        <v>45658</v>
      </c>
      <c r="D7" s="26" t="s">
        <v>23</v>
      </c>
      <c r="E7" s="32"/>
      <c r="F7" s="315">
        <v>650</v>
      </c>
      <c r="G7" s="316"/>
      <c r="H7" s="33"/>
      <c r="I7" s="33"/>
      <c r="J7" s="25">
        <v>46022</v>
      </c>
      <c r="K7" s="312" t="s">
        <v>125</v>
      </c>
      <c r="L7" s="313"/>
      <c r="M7" s="314"/>
      <c r="N7" s="27">
        <f>'Prehľad MaZ'!F39</f>
        <v>650.00000000000011</v>
      </c>
      <c r="O7" s="33"/>
    </row>
    <row r="8" spans="1:15" s="20" customFormat="1" ht="21.75" customHeight="1" thickBot="1" x14ac:dyDescent="0.25">
      <c r="A8" s="35"/>
      <c r="B8" s="35"/>
      <c r="C8" s="35"/>
      <c r="D8" s="35"/>
      <c r="E8" s="37"/>
      <c r="F8" s="51"/>
      <c r="G8" s="36"/>
      <c r="H8" s="35"/>
      <c r="I8" s="35"/>
      <c r="J8" s="51"/>
      <c r="K8" s="30"/>
      <c r="L8" s="29"/>
      <c r="M8" s="30"/>
      <c r="N8" s="30"/>
      <c r="O8" s="35"/>
    </row>
    <row r="9" spans="1:15" s="20" customFormat="1" ht="21.75" customHeight="1" thickBot="1" x14ac:dyDescent="0.25">
      <c r="A9" s="35"/>
      <c r="B9" s="35"/>
      <c r="C9" s="35"/>
      <c r="D9" s="35"/>
      <c r="E9" s="37"/>
      <c r="F9" s="51"/>
      <c r="G9" s="36"/>
      <c r="H9" s="35"/>
      <c r="I9" s="35"/>
      <c r="J9" s="51"/>
      <c r="K9" s="143">
        <f>SUBTOTAL(9,PZ[SUMA pohľ. / záväzku])</f>
        <v>731.24000000000012</v>
      </c>
      <c r="L9" s="144"/>
      <c r="M9" s="145">
        <f>SUBTOTAL(9,PZ[Suma inkasa / úhrady])</f>
        <v>731.24000000000012</v>
      </c>
      <c r="N9" s="146">
        <f>SUBTOTAL(9,PZ[Nedoplatok pohľ. / záväzku])</f>
        <v>0</v>
      </c>
      <c r="O9" s="35"/>
    </row>
    <row r="10" spans="1:15" s="39" customFormat="1" ht="27.75" customHeight="1" thickBot="1" x14ac:dyDescent="0.25">
      <c r="A10" s="48"/>
      <c r="B10" s="48"/>
      <c r="C10" s="106" t="s">
        <v>70</v>
      </c>
      <c r="D10" s="106" t="s">
        <v>71</v>
      </c>
      <c r="E10" s="106" t="s">
        <v>49</v>
      </c>
      <c r="F10" s="106" t="s">
        <v>130</v>
      </c>
      <c r="G10" s="106" t="s">
        <v>72</v>
      </c>
      <c r="H10" s="106" t="s">
        <v>73</v>
      </c>
      <c r="I10" s="106" t="s">
        <v>74</v>
      </c>
      <c r="J10" s="106" t="s">
        <v>52</v>
      </c>
      <c r="K10" s="106" t="s">
        <v>104</v>
      </c>
      <c r="L10" s="138" t="s">
        <v>75</v>
      </c>
      <c r="M10" s="139" t="s">
        <v>76</v>
      </c>
      <c r="N10" s="138" t="s">
        <v>85</v>
      </c>
      <c r="O10" s="48"/>
    </row>
    <row r="11" spans="1:15" ht="15" customHeight="1" thickBot="1" x14ac:dyDescent="0.25">
      <c r="C11" s="191">
        <v>45720</v>
      </c>
      <c r="D11" s="192">
        <v>909702302</v>
      </c>
      <c r="E11" s="193" t="s">
        <v>81</v>
      </c>
      <c r="F11" s="229" t="str">
        <f>IF(OR(PZ[[#This Row],[Druh dokladu]]=List!$D$4,PZ[[#This Row],[Druh dokladu]]=List!$D$6,PZ[[#This Row],[Druh dokladu]]=List!$D$8),"Z","P")</f>
        <v>Z</v>
      </c>
      <c r="G11" s="194">
        <v>45751</v>
      </c>
      <c r="H11" s="228" t="s">
        <v>121</v>
      </c>
      <c r="I11" s="230" t="s">
        <v>190</v>
      </c>
      <c r="J11" s="195"/>
      <c r="K11" s="196">
        <v>439.99</v>
      </c>
      <c r="L11" s="197">
        <v>45750</v>
      </c>
      <c r="M11" s="196">
        <v>439.99</v>
      </c>
      <c r="N11" s="210">
        <f>PZ[[#This Row],[SUMA pohľ. / záväzku]]-PZ[[#This Row],[Suma inkasa / úhrady]]</f>
        <v>0</v>
      </c>
    </row>
    <row r="12" spans="1:15" ht="15" customHeight="1" x14ac:dyDescent="0.2">
      <c r="C12" s="112">
        <v>45727</v>
      </c>
      <c r="D12" s="192">
        <v>909702302</v>
      </c>
      <c r="E12" s="198" t="s">
        <v>81</v>
      </c>
      <c r="F12" s="175" t="s">
        <v>87</v>
      </c>
      <c r="G12" s="113">
        <v>45778</v>
      </c>
      <c r="H12" s="199" t="s">
        <v>121</v>
      </c>
      <c r="I12" s="110" t="s">
        <v>191</v>
      </c>
      <c r="J12" s="200"/>
      <c r="K12" s="111">
        <v>153</v>
      </c>
      <c r="L12" s="41">
        <v>45779</v>
      </c>
      <c r="M12" s="111">
        <v>153</v>
      </c>
      <c r="N12" s="111">
        <f>PZ[[#This Row],[SUMA pohľ. / záväzku]]-PZ[[#This Row],[Suma inkasa / úhrady]]</f>
        <v>0</v>
      </c>
    </row>
    <row r="13" spans="1:15" ht="15" customHeight="1" x14ac:dyDescent="0.2">
      <c r="C13" s="165">
        <v>45792</v>
      </c>
      <c r="D13" s="174">
        <v>3125072317</v>
      </c>
      <c r="E13" s="167" t="s">
        <v>81</v>
      </c>
      <c r="F13" s="175" t="s">
        <v>87</v>
      </c>
      <c r="G13" s="168">
        <v>45797</v>
      </c>
      <c r="H13" s="169" t="s">
        <v>180</v>
      </c>
      <c r="I13" s="110" t="s">
        <v>226</v>
      </c>
      <c r="J13" s="171"/>
      <c r="K13" s="172">
        <v>46.09</v>
      </c>
      <c r="L13" s="223">
        <v>45817</v>
      </c>
      <c r="M13" s="172">
        <v>46.09</v>
      </c>
      <c r="N13" s="111">
        <f>PZ[[#This Row],[SUMA pohľ. / záväzku]]-PZ[[#This Row],[Suma inkasa / úhrady]]</f>
        <v>0</v>
      </c>
    </row>
    <row r="14" spans="1:15" ht="15" customHeight="1" x14ac:dyDescent="0.2">
      <c r="C14" s="165">
        <v>45792</v>
      </c>
      <c r="D14" s="174">
        <v>3125072317</v>
      </c>
      <c r="E14" s="167" t="s">
        <v>81</v>
      </c>
      <c r="F14" s="175" t="s">
        <v>87</v>
      </c>
      <c r="G14" s="168">
        <v>45900</v>
      </c>
      <c r="H14" s="169" t="s">
        <v>180</v>
      </c>
      <c r="I14" s="110" t="s">
        <v>224</v>
      </c>
      <c r="J14" s="171"/>
      <c r="K14" s="172">
        <v>46.08</v>
      </c>
      <c r="L14" s="41">
        <v>45876</v>
      </c>
      <c r="M14" s="172">
        <v>46.08</v>
      </c>
      <c r="N14" s="111">
        <f>PZ[[#This Row],[SUMA pohľ. / záväzku]]-PZ[[#This Row],[Suma inkasa / úhrady]]</f>
        <v>0</v>
      </c>
    </row>
    <row r="15" spans="1:15" ht="15" customHeight="1" x14ac:dyDescent="0.2">
      <c r="C15" s="165">
        <v>45792</v>
      </c>
      <c r="D15" s="174">
        <v>3125072317</v>
      </c>
      <c r="E15" s="167" t="s">
        <v>81</v>
      </c>
      <c r="F15" s="175" t="s">
        <v>87</v>
      </c>
      <c r="G15" s="168">
        <v>45961</v>
      </c>
      <c r="H15" s="169" t="s">
        <v>180</v>
      </c>
      <c r="I15" s="110" t="s">
        <v>225</v>
      </c>
      <c r="J15" s="171"/>
      <c r="K15" s="172">
        <v>46.08</v>
      </c>
      <c r="L15" s="173">
        <v>45933</v>
      </c>
      <c r="M15" s="172">
        <v>46.08</v>
      </c>
      <c r="N15" s="111">
        <f>PZ[[#This Row],[SUMA pohľ. / záväzku]]-PZ[[#This Row],[Suma inkasa / úhrady]]</f>
        <v>0</v>
      </c>
    </row>
    <row r="16" spans="1:15" ht="15" customHeight="1" x14ac:dyDescent="0.2">
      <c r="C16" s="165"/>
      <c r="D16" s="166"/>
      <c r="E16" s="167"/>
      <c r="F16" s="182"/>
      <c r="G16" s="168"/>
      <c r="H16" s="169"/>
      <c r="I16" s="170"/>
      <c r="J16" s="171"/>
      <c r="K16" s="172"/>
      <c r="L16" s="173"/>
      <c r="M16" s="172"/>
      <c r="N16" s="172"/>
    </row>
    <row r="17" spans="3:14" ht="15" customHeight="1" x14ac:dyDescent="0.2">
      <c r="C17" s="165"/>
      <c r="D17" s="166"/>
      <c r="E17" s="167"/>
      <c r="F17" s="182"/>
      <c r="G17" s="168"/>
      <c r="H17" s="169"/>
      <c r="I17" s="170"/>
      <c r="J17" s="171"/>
      <c r="K17" s="172"/>
      <c r="L17" s="173"/>
      <c r="M17" s="172"/>
      <c r="N17" s="172"/>
    </row>
    <row r="18" spans="3:14" ht="15" customHeight="1" x14ac:dyDescent="0.2">
      <c r="C18" s="165"/>
      <c r="D18" s="166"/>
      <c r="E18" s="167"/>
      <c r="F18" s="182"/>
      <c r="G18" s="168"/>
      <c r="H18" s="169"/>
      <c r="I18" s="170"/>
      <c r="J18" s="171"/>
      <c r="K18" s="172"/>
      <c r="L18" s="173"/>
      <c r="M18" s="172"/>
      <c r="N18" s="172"/>
    </row>
    <row r="19" spans="3:14" ht="15" customHeight="1" x14ac:dyDescent="0.2">
      <c r="C19" s="165"/>
      <c r="D19" s="174"/>
      <c r="E19" s="167"/>
      <c r="F19" s="182"/>
      <c r="G19" s="168"/>
      <c r="H19" s="169"/>
      <c r="I19" s="170"/>
      <c r="J19" s="171"/>
      <c r="K19" s="172"/>
      <c r="L19" s="173"/>
      <c r="M19" s="172"/>
      <c r="N19" s="172"/>
    </row>
    <row r="20" spans="3:14" ht="15" customHeight="1" x14ac:dyDescent="0.2">
      <c r="C20" s="165"/>
      <c r="D20" s="174"/>
      <c r="E20" s="167"/>
      <c r="F20" s="182"/>
      <c r="G20" s="168"/>
      <c r="H20" s="169"/>
      <c r="I20" s="170"/>
      <c r="J20" s="171"/>
      <c r="K20" s="172"/>
      <c r="L20" s="173"/>
      <c r="M20" s="172"/>
      <c r="N20" s="172"/>
    </row>
    <row r="21" spans="3:14" ht="15" customHeight="1" x14ac:dyDescent="0.2">
      <c r="C21" s="165"/>
      <c r="D21" s="166"/>
      <c r="E21" s="167"/>
      <c r="F21" s="182"/>
      <c r="G21" s="168"/>
      <c r="H21" s="169"/>
      <c r="I21" s="170"/>
      <c r="J21" s="171"/>
      <c r="K21" s="172"/>
      <c r="L21" s="173"/>
      <c r="M21" s="172"/>
      <c r="N21" s="172"/>
    </row>
    <row r="22" spans="3:14" ht="15" customHeight="1" x14ac:dyDescent="0.2">
      <c r="C22" s="165"/>
      <c r="D22" s="174"/>
      <c r="E22" s="167"/>
      <c r="F22" s="182"/>
      <c r="G22" s="168"/>
      <c r="H22" s="169"/>
      <c r="I22" s="170"/>
      <c r="J22" s="171"/>
      <c r="K22" s="172"/>
      <c r="L22" s="173"/>
      <c r="M22" s="172"/>
      <c r="N22" s="172"/>
    </row>
    <row r="23" spans="3:14" ht="15" customHeight="1" x14ac:dyDescent="0.2">
      <c r="C23" s="165"/>
      <c r="D23" s="174"/>
      <c r="E23" s="167"/>
      <c r="F23" s="182"/>
      <c r="G23" s="168"/>
      <c r="H23" s="169"/>
      <c r="I23" s="170"/>
      <c r="J23" s="171"/>
      <c r="K23" s="172"/>
      <c r="L23" s="173"/>
      <c r="M23" s="172"/>
      <c r="N23" s="172"/>
    </row>
    <row r="24" spans="3:14" ht="15" customHeight="1" x14ac:dyDescent="0.2">
      <c r="C24" s="165"/>
      <c r="D24" s="166"/>
      <c r="E24" s="167"/>
      <c r="F24" s="182"/>
      <c r="G24" s="168"/>
      <c r="H24" s="169"/>
      <c r="I24" s="170"/>
      <c r="J24" s="171"/>
      <c r="K24" s="172"/>
      <c r="L24" s="173"/>
      <c r="M24" s="172"/>
      <c r="N24" s="172"/>
    </row>
    <row r="25" spans="3:14" ht="15" customHeight="1" x14ac:dyDescent="0.2">
      <c r="C25" s="165"/>
      <c r="D25" s="174"/>
      <c r="E25" s="167"/>
      <c r="F25" s="182"/>
      <c r="G25" s="168"/>
      <c r="H25" s="169"/>
      <c r="I25" s="170"/>
      <c r="J25" s="171"/>
      <c r="K25" s="172"/>
      <c r="L25" s="173"/>
      <c r="M25" s="172"/>
      <c r="N25" s="172"/>
    </row>
  </sheetData>
  <sheetProtection formatCells="0" formatColumns="0" formatRows="0" insertColumns="0" insertRows="0" insertHyperlinks="0" deleteColumns="0" deleteRows="0" selectLockedCells="1" sort="0" autoFilter="0" pivotTables="0"/>
  <mergeCells count="11">
    <mergeCell ref="K7:M7"/>
    <mergeCell ref="F6:G6"/>
    <mergeCell ref="F7:G7"/>
    <mergeCell ref="L2:N2"/>
    <mergeCell ref="D6:E6"/>
    <mergeCell ref="G2:H2"/>
    <mergeCell ref="B2:E2"/>
    <mergeCell ref="B3:E3"/>
    <mergeCell ref="J2:K2"/>
    <mergeCell ref="K6:M6"/>
    <mergeCell ref="G3:H3"/>
  </mergeCells>
  <conditionalFormatting sqref="C11">
    <cfRule type="containsBlanks" dxfId="40" priority="2">
      <formula>LEN(TRIM(C11))=0</formula>
    </cfRule>
  </conditionalFormatting>
  <conditionalFormatting sqref="C19:C21">
    <cfRule type="containsBlanks" dxfId="39" priority="4">
      <formula>LEN(TRIM(C19))=0</formula>
    </cfRule>
  </conditionalFormatting>
  <conditionalFormatting sqref="C11:I25">
    <cfRule type="containsBlanks" dxfId="38" priority="9">
      <formula>LEN(TRIM(C11))=0</formula>
    </cfRule>
  </conditionalFormatting>
  <conditionalFormatting sqref="L13">
    <cfRule type="containsBlanks" dxfId="37" priority="1">
      <formula>LEN(TRIM(L13))=0</formula>
    </cfRule>
  </conditionalFormatting>
  <conditionalFormatting sqref="N11:N25">
    <cfRule type="expression" dxfId="36" priority="449">
      <formula>K11-M11&lt;&gt;N11</formula>
    </cfRule>
    <cfRule type="expression" dxfId="35" priority="465">
      <formula>$F11="P"</formula>
    </cfRule>
    <cfRule type="expression" dxfId="34" priority="466">
      <formula>$F11="Z"</formula>
    </cfRule>
  </conditionalFormatting>
  <dataValidations count="12">
    <dataValidation allowBlank="1" showInputMessage="1" showErrorMessage="1" prompt="Zadajte stav záväzkov k 1.1. účtovného obdobia" sqref="F7" xr:uid="{00000000-0002-0000-0100-000000000000}"/>
    <dataValidation allowBlank="1" showInputMessage="1" showErrorMessage="1" prompt="Zadajte stav pohľadávok k 1.1. účtovného obdobia" sqref="F6" xr:uid="{00000000-0002-0000-0100-000001000000}"/>
    <dataValidation allowBlank="1" showInputMessage="1" showErrorMessage="1" prompt="NEVYPĹŇAŤ. Súčtové pole" sqref="M9:N9 K9 N11:N25" xr:uid="{00000000-0002-0000-0100-000003000000}"/>
    <dataValidation allowBlank="1" showInputMessage="1" showErrorMessage="1" prompt="NEVYPĹŇAŤ! " sqref="N6:N7" xr:uid="{00000000-0002-0000-0100-000009000000}"/>
    <dataValidation allowBlank="1" showInputMessage="1" showErrorMessage="1" prompt="Zadajte sumu inkasa / úhrady" sqref="M11:M13 M16:M24" xr:uid="{00000000-0002-0000-0100-000002000000}"/>
    <dataValidation allowBlank="1" showInputMessage="1" showErrorMessage="1" prompt="Zadajte dátum inkasa / úhrady" sqref="M14 L11:L12 L14:L25" xr:uid="{00000000-0002-0000-0100-000004000000}"/>
    <dataValidation allowBlank="1" showInputMessage="1" showErrorMessage="1" prompt="Zadajte variabilný symbol" sqref="D11:D25" xr:uid="{00000000-0002-0000-0100-000005000000}"/>
    <dataValidation allowBlank="1" showInputMessage="1" showErrorMessage="1" prompt="Zadajte text transakcie" sqref="I11:I25" xr:uid="{00000000-0002-0000-0100-000006000000}"/>
    <dataValidation allowBlank="1" showInputMessage="1" showErrorMessage="1" prompt="Zadajte sumu pohľadávky / záväzku" sqref="K11:K25 M25 M15" xr:uid="{00000000-0002-0000-0100-000007000000}"/>
    <dataValidation allowBlank="1" showInputMessage="1" showErrorMessage="1" prompt="Zadajte poznámku" sqref="J11:J25" xr:uid="{00000000-0002-0000-0100-000008000000}"/>
    <dataValidation allowBlank="1" showInputMessage="1" showErrorMessage="1" prompt="NEVYPĹŇAŤ!" sqref="F11:F25" xr:uid="{00000000-0002-0000-0100-00000A000000}"/>
    <dataValidation type="list" allowBlank="1" showInputMessage="1" showErrorMessage="1" prompt="Vyberte odberateľa / dodávateľa" sqref="H11:H25" xr:uid="{00000000-0002-0000-0100-00000B000000}">
      <formula1>INDIRECT($F11)</formula1>
    </dataValidation>
  </dataValidations>
  <hyperlinks>
    <hyperlink ref="B2:E2" r:id="rId1" display="DAŇOVÁ EVIDENCIA" xr:uid="{00000000-0004-0000-0100-000000000000}"/>
    <hyperlink ref="H10" location="Zoznamy!A1" display="Odberateľ / Dodávateľ" xr:uid="{00000000-0004-0000-0100-000001000000}"/>
    <hyperlink ref="G3:H3" r:id="rId2" location="paragraf-6.odsek-11" display="(§ 6 ods. 11 zákona 595/2003 Z.z.)" xr:uid="{00000000-0004-0000-0100-000002000000}"/>
  </hyperlinks>
  <pageMargins left="0.70866141732283472" right="0.70866141732283472" top="0.74803149606299213" bottom="0.74803149606299213" header="0.31496062992125984" footer="0.31496062992125984"/>
  <pageSetup paperSize="9" scale="57" fitToHeight="0" orientation="landscape" blackAndWhite="1"/>
  <ignoredErrors>
    <ignoredError sqref="N12:N13" unlockedFormula="1"/>
  </ignoredErrors>
  <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date" allowBlank="1" showInputMessage="1" showErrorMessage="1" errorTitle="Nesprávny dátum" error="Zadajte dátum" prompt="Zadajte dátum" xr:uid="{00000000-0002-0000-0100-00000C000000}">
          <x14:formula1>
            <xm:f>List!$A$4</xm:f>
          </x14:formula1>
          <x14:formula2>
            <xm:f>List!$A$5</xm:f>
          </x14:formula2>
          <xm:sqref>C11:C25 L13</xm:sqref>
        </x14:dataValidation>
        <x14:dataValidation type="list" allowBlank="1" showInputMessage="1" showErrorMessage="1" errorTitle="Vyberte možnosť" error="Vyberte možnosť z ponúknutého zoznamu" prompt="Vyberte druh dokladu zo zoznamu" xr:uid="{00000000-0002-0000-0100-00000D000000}">
          <x14:formula1>
            <xm:f>List!$D$4:$D$9</xm:f>
          </x14:formula1>
          <xm:sqref>E11:E25</xm:sqref>
        </x14:dataValidation>
        <x14:dataValidation type="date" allowBlank="1" showInputMessage="1" showErrorMessage="1" prompt="Zadajte dátum splatnosti" xr:uid="{00000000-0002-0000-0100-00000E000000}">
          <x14:formula1>
            <xm:f>List!$E$4</xm:f>
          </x14:formula1>
          <x14:formula2>
            <xm:f>List!$E$5</xm:f>
          </x14:formula2>
          <xm:sqref>G11:G25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249977111117893"/>
    <pageSetUpPr fitToPage="1"/>
  </sheetPr>
  <dimension ref="A1:N12"/>
  <sheetViews>
    <sheetView showGridLines="0" workbookViewId="0">
      <pane ySplit="10" topLeftCell="A11" activePane="bottomLeft" state="frozen"/>
      <selection pane="bottomLeft" activeCell="J18" sqref="J18"/>
    </sheetView>
  </sheetViews>
  <sheetFormatPr defaultColWidth="9.140625" defaultRowHeight="15" customHeight="1" x14ac:dyDescent="0.2"/>
  <cols>
    <col min="1" max="1" width="3.42578125" style="40" customWidth="1"/>
    <col min="2" max="2" width="8.85546875" style="40" customWidth="1"/>
    <col min="3" max="3" width="14.7109375" style="43" customWidth="1"/>
    <col min="4" max="4" width="18" style="40" customWidth="1"/>
    <col min="5" max="5" width="31.140625" style="44" bestFit="1" customWidth="1"/>
    <col min="6" max="6" width="17.5703125" style="129" customWidth="1"/>
    <col min="7" max="7" width="31.42578125" style="40" customWidth="1"/>
    <col min="8" max="8" width="23.140625" style="40" bestFit="1" customWidth="1"/>
    <col min="9" max="9" width="14.42578125" style="45" customWidth="1"/>
    <col min="10" max="10" width="14.42578125" style="46" customWidth="1"/>
    <col min="11" max="11" width="14.42578125" style="43" customWidth="1"/>
    <col min="12" max="12" width="16.5703125" style="42" customWidth="1"/>
    <col min="13" max="13" width="8.42578125" style="42" customWidth="1"/>
    <col min="14" max="14" width="3.42578125" style="40" customWidth="1"/>
    <col min="15" max="16384" width="9.140625" style="40"/>
  </cols>
  <sheetData>
    <row r="1" spans="1:14" s="20" customFormat="1" ht="8.25" customHeight="1" x14ac:dyDescent="0.2">
      <c r="C1" s="83"/>
      <c r="E1" s="82"/>
      <c r="F1" s="127"/>
      <c r="I1" s="85"/>
      <c r="J1" s="86"/>
      <c r="K1" s="83"/>
      <c r="L1" s="77"/>
      <c r="M1" s="77"/>
    </row>
    <row r="2" spans="1:14" s="79" customFormat="1" ht="39" customHeight="1" x14ac:dyDescent="0.3">
      <c r="A2" s="78"/>
      <c r="B2" s="319" t="s">
        <v>38</v>
      </c>
      <c r="C2" s="319"/>
      <c r="D2" s="319"/>
      <c r="E2" s="319"/>
      <c r="F2" s="318" t="str">
        <f>List!G4</f>
        <v/>
      </c>
      <c r="G2" s="318"/>
      <c r="H2" s="75" t="str">
        <f>List!G5</f>
        <v/>
      </c>
      <c r="I2" s="303" t="str">
        <f>List!G6</f>
        <v/>
      </c>
      <c r="J2" s="303"/>
      <c r="K2" s="317" t="str">
        <f>List!G7</f>
        <v/>
      </c>
      <c r="L2" s="317"/>
      <c r="M2" s="317"/>
      <c r="N2" s="78"/>
    </row>
    <row r="3" spans="1:14" s="20" customFormat="1" ht="24.75" x14ac:dyDescent="0.2">
      <c r="A3" s="18"/>
      <c r="B3" s="305" t="s">
        <v>150</v>
      </c>
      <c r="C3" s="305"/>
      <c r="D3" s="305"/>
      <c r="E3" s="305"/>
      <c r="F3" s="321" t="s">
        <v>39</v>
      </c>
      <c r="G3" s="321"/>
      <c r="H3" s="130"/>
      <c r="I3" s="125"/>
      <c r="J3" s="125"/>
      <c r="K3" s="125"/>
      <c r="L3" s="125"/>
      <c r="M3" s="125"/>
      <c r="N3" s="18"/>
    </row>
    <row r="4" spans="1:14" s="20" customFormat="1" ht="21.75" customHeight="1" x14ac:dyDescent="0.2">
      <c r="A4" s="18"/>
      <c r="B4" s="21"/>
      <c r="C4" s="21"/>
      <c r="D4" s="21"/>
      <c r="E4" s="21"/>
      <c r="F4" s="80"/>
      <c r="G4" s="49"/>
      <c r="H4" s="24"/>
      <c r="I4" s="24"/>
      <c r="J4" s="24"/>
      <c r="K4" s="24"/>
      <c r="L4" s="24"/>
      <c r="M4" s="19"/>
      <c r="N4" s="18"/>
    </row>
    <row r="5" spans="1:14" s="31" customFormat="1" ht="16.5" customHeight="1" x14ac:dyDescent="0.2">
      <c r="A5" s="33"/>
      <c r="B5" s="21"/>
      <c r="C5" s="25">
        <v>45658</v>
      </c>
      <c r="D5" s="26" t="s">
        <v>96</v>
      </c>
      <c r="E5" s="47"/>
      <c r="F5" s="27">
        <v>0</v>
      </c>
      <c r="G5" s="21"/>
      <c r="H5" s="119">
        <v>46022</v>
      </c>
      <c r="I5" s="312" t="s">
        <v>112</v>
      </c>
      <c r="J5" s="313"/>
      <c r="K5" s="314"/>
      <c r="L5" s="27">
        <f>'Prehľad MaZ'!C25</f>
        <v>0</v>
      </c>
      <c r="M5" s="30"/>
      <c r="N5" s="33"/>
    </row>
    <row r="6" spans="1:14" s="31" customFormat="1" ht="16.5" customHeight="1" x14ac:dyDescent="0.2">
      <c r="A6" s="33"/>
      <c r="B6" s="21"/>
      <c r="C6" s="25">
        <v>45658</v>
      </c>
      <c r="D6" s="26" t="s">
        <v>97</v>
      </c>
      <c r="E6" s="32"/>
      <c r="F6" s="27">
        <v>0</v>
      </c>
      <c r="G6" s="33"/>
      <c r="H6" s="119">
        <v>46022</v>
      </c>
      <c r="I6" s="312" t="s">
        <v>129</v>
      </c>
      <c r="J6" s="313"/>
      <c r="K6" s="314"/>
      <c r="L6" s="27">
        <f>'Prehľad MaZ'!C19</f>
        <v>0</v>
      </c>
      <c r="M6" s="30"/>
      <c r="N6" s="33"/>
    </row>
    <row r="7" spans="1:14" s="31" customFormat="1" ht="16.5" customHeight="1" x14ac:dyDescent="0.2">
      <c r="A7" s="33"/>
      <c r="B7" s="21"/>
      <c r="C7" s="25">
        <v>45658</v>
      </c>
      <c r="D7" s="26" t="s">
        <v>30</v>
      </c>
      <c r="E7" s="32"/>
      <c r="F7" s="27">
        <v>229613</v>
      </c>
      <c r="G7" s="33"/>
      <c r="H7" s="119">
        <v>46022</v>
      </c>
      <c r="I7" s="312" t="s">
        <v>36</v>
      </c>
      <c r="J7" s="313"/>
      <c r="K7" s="314"/>
      <c r="L7" s="27">
        <f>'Prehľad MaZ'!C13</f>
        <v>225575.00166666668</v>
      </c>
      <c r="M7" s="34"/>
      <c r="N7" s="33"/>
    </row>
    <row r="8" spans="1:14" s="20" customFormat="1" ht="21.75" customHeight="1" thickBot="1" x14ac:dyDescent="0.25">
      <c r="A8" s="35"/>
      <c r="B8" s="35"/>
      <c r="C8" s="36"/>
      <c r="D8" s="35"/>
      <c r="E8" s="37"/>
      <c r="F8" s="128"/>
      <c r="G8" s="35"/>
      <c r="H8" s="35"/>
      <c r="I8" s="38"/>
      <c r="J8" s="28"/>
      <c r="K8" s="29"/>
      <c r="L8" s="30"/>
      <c r="M8" s="30"/>
      <c r="N8" s="35"/>
    </row>
    <row r="9" spans="1:14" s="20" customFormat="1" ht="21.75" customHeight="1" thickBot="1" x14ac:dyDescent="0.25">
      <c r="A9" s="35"/>
      <c r="B9" s="35"/>
      <c r="C9" s="36"/>
      <c r="D9" s="35"/>
      <c r="E9" s="37"/>
      <c r="F9" s="128"/>
      <c r="G9" s="35"/>
      <c r="H9" s="35"/>
      <c r="I9" s="38"/>
      <c r="J9" s="28"/>
      <c r="K9" s="29"/>
      <c r="L9" s="146">
        <f>SUBTOTAL(9,PZ_8[Peňažná suma])</f>
        <v>-4037.998333333333</v>
      </c>
      <c r="M9" s="30"/>
      <c r="N9" s="35"/>
    </row>
    <row r="10" spans="1:14" s="39" customFormat="1" ht="26.25" thickBot="1" x14ac:dyDescent="0.25">
      <c r="A10" s="48"/>
      <c r="B10" s="48"/>
      <c r="C10" s="114" t="s">
        <v>47</v>
      </c>
      <c r="D10" s="106" t="s">
        <v>98</v>
      </c>
      <c r="E10" s="106" t="s">
        <v>105</v>
      </c>
      <c r="F10" s="106" t="s">
        <v>99</v>
      </c>
      <c r="G10" s="114" t="s">
        <v>100</v>
      </c>
      <c r="H10" s="114" t="s">
        <v>52</v>
      </c>
      <c r="I10" s="115" t="s">
        <v>101</v>
      </c>
      <c r="J10" s="115" t="s">
        <v>102</v>
      </c>
      <c r="K10" s="106" t="s">
        <v>103</v>
      </c>
      <c r="L10" s="138" t="s">
        <v>106</v>
      </c>
      <c r="M10" s="131"/>
      <c r="N10" s="48"/>
    </row>
    <row r="11" spans="1:14" ht="15" customHeight="1" x14ac:dyDescent="0.2">
      <c r="C11" s="264">
        <v>45771</v>
      </c>
      <c r="D11" s="265">
        <v>1</v>
      </c>
      <c r="E11" s="266" t="s">
        <v>109</v>
      </c>
      <c r="F11" s="265">
        <v>1</v>
      </c>
      <c r="G11" s="113" t="s">
        <v>163</v>
      </c>
      <c r="H11" s="268" t="s">
        <v>219</v>
      </c>
      <c r="I11" s="269" t="s">
        <v>220</v>
      </c>
      <c r="J11" s="270" t="s">
        <v>221</v>
      </c>
      <c r="K11" s="271">
        <v>1730</v>
      </c>
      <c r="L11" s="271">
        <v>1730</v>
      </c>
    </row>
    <row r="12" spans="1:14" ht="15" customHeight="1" x14ac:dyDescent="0.2">
      <c r="C12" s="264">
        <v>46022</v>
      </c>
      <c r="D12" s="265">
        <v>2</v>
      </c>
      <c r="E12" s="266" t="s">
        <v>34</v>
      </c>
      <c r="F12" s="265">
        <v>1</v>
      </c>
      <c r="G12" s="267" t="s">
        <v>163</v>
      </c>
      <c r="H12" s="268" t="s">
        <v>186</v>
      </c>
      <c r="I12" s="269">
        <v>1</v>
      </c>
      <c r="J12" s="270" t="s">
        <v>221</v>
      </c>
      <c r="K12" s="271">
        <f>(-F7/40/12*4+0.44)+(-(F7+K11)/40/12*8+0.72)</f>
        <v>-5767.998333333333</v>
      </c>
      <c r="L12" s="272">
        <f>PZ_8[[#This Row],[Cena za jednotku]]*PZ_8[[#This Row],[Počet]]</f>
        <v>-5767.998333333333</v>
      </c>
    </row>
  </sheetData>
  <sheetProtection formatCells="0" formatColumns="0" formatRows="0" insertColumns="0" insertRows="0" insertHyperlinks="0" deleteColumns="0" deleteRows="0" selectLockedCells="1" sort="0" autoFilter="0" pivotTables="0"/>
  <mergeCells count="9">
    <mergeCell ref="I5:K5"/>
    <mergeCell ref="I6:K6"/>
    <mergeCell ref="I7:K7"/>
    <mergeCell ref="K2:M2"/>
    <mergeCell ref="B2:E2"/>
    <mergeCell ref="F2:G2"/>
    <mergeCell ref="B3:E3"/>
    <mergeCell ref="I2:J2"/>
    <mergeCell ref="F3:G3"/>
  </mergeCells>
  <conditionalFormatting sqref="C11:E12 I11:I12">
    <cfRule type="containsBlanks" dxfId="33" priority="2">
      <formula>LEN(TRIM(C11))=0</formula>
    </cfRule>
  </conditionalFormatting>
  <conditionalFormatting sqref="L12">
    <cfRule type="cellIs" dxfId="32" priority="26" operator="lessThan">
      <formula>0</formula>
    </cfRule>
    <cfRule type="cellIs" dxfId="31" priority="27" operator="greaterThan">
      <formula>0</formula>
    </cfRule>
  </conditionalFormatting>
  <dataValidations count="12">
    <dataValidation allowBlank="1" showInputMessage="1" showErrorMessage="1" prompt="Zadajte stav zásob k 1.1. účtovného obdobia" sqref="F5" xr:uid="{00000000-0002-0000-0200-000000000000}"/>
    <dataValidation allowBlank="1" showInputMessage="1" showErrorMessage="1" prompt="Zadajte stav dlhodobého majetku k 1.1. účtovného obdobia" sqref="F7" xr:uid="{00000000-0002-0000-0200-000001000000}"/>
    <dataValidation allowBlank="1" showInputMessage="1" showErrorMessage="1" prompt="NEVYPĹŇAŤ. Súčtové pole" sqref="L9 L12" xr:uid="{00000000-0002-0000-0200-000002000000}"/>
    <dataValidation allowBlank="1" showInputMessage="1" showErrorMessage="1" prompt="NEVYPĹŇAŤ! " sqref="L5:L7" xr:uid="{00000000-0002-0000-0200-000003000000}"/>
    <dataValidation allowBlank="1" showInputMessage="1" showErrorMessage="1" prompt="Zadajte stav krátkodobého majetku k 1.1. účtovného obdobia" sqref="F6" xr:uid="{00000000-0002-0000-0200-000004000000}"/>
    <dataValidation allowBlank="1" showInputMessage="1" showErrorMessage="1" prompt="Zadajte sumu za mernú jednotku" sqref="K11:K12 L11" xr:uid="{00000000-0002-0000-0200-000005000000}"/>
    <dataValidation allowBlank="1" showInputMessage="1" showErrorMessage="1" prompt="Zadajte označenie zásoby, KD alebo DD majetku" sqref="G11:G12" xr:uid="{00000000-0002-0000-0200-000006000000}"/>
    <dataValidation allowBlank="1" showInputMessage="1" showErrorMessage="1" prompt="Zadajte mernú jednotku" sqref="J11:J12" xr:uid="{00000000-0002-0000-0200-000007000000}"/>
    <dataValidation allowBlank="1" showInputMessage="1" showErrorMessage="1" prompt="Zadajte číslo dokladu" sqref="D11:D12" xr:uid="{00000000-0002-0000-0200-000008000000}"/>
    <dataValidation allowBlank="1" showInputMessage="1" showErrorMessage="1" prompt="Zadajte počet" sqref="I11:I12" xr:uid="{00000000-0002-0000-0200-000009000000}"/>
    <dataValidation allowBlank="1" showInputMessage="1" showErrorMessage="1" prompt="Zadajte inventárne alebo evidenčné číslo" sqref="F11:F12" xr:uid="{00000000-0002-0000-0200-00000A000000}"/>
    <dataValidation allowBlank="1" showInputMessage="1" showErrorMessage="1" prompt="Zadajte poznámku" sqref="H11:H12" xr:uid="{00000000-0002-0000-0200-00000B000000}"/>
  </dataValidations>
  <hyperlinks>
    <hyperlink ref="B2:E2" r:id="rId1" display="DAŇOVÁ EVIDENCIA" xr:uid="{00000000-0004-0000-0200-000000000000}"/>
    <hyperlink ref="F3:G3" r:id="rId2" location="paragraf-6.odsek-11" display="(§ 6 ods. 11 zákona 595/2003 Z.z.)" xr:uid="{00000000-0004-0000-0200-000001000000}"/>
  </hyperlinks>
  <pageMargins left="0.70866141732283472" right="0.70866141732283472" top="0.74803149606299213" bottom="0.74803149606299213" header="0.31496062992125984" footer="0.31496062992125984"/>
  <pageSetup paperSize="9" scale="58" orientation="landscape" blackAndWhite="1"/>
  <ignoredErrors>
    <ignoredError sqref="L5:L6" unlockedFormula="1"/>
    <ignoredError sqref="I11" numberStoredAsText="1"/>
  </ignoredErrors>
  <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Vyberte možnosť" error="Vyberte možnosť z ponúknutého zoznamu" prompt="Vyberte zo zoznamu zásoba alebo druh majetku, prípadne odpisy" xr:uid="{00000000-0002-0000-0200-00000C000000}">
          <x14:formula1>
            <xm:f>List!$F$4:$F$8</xm:f>
          </x14:formula1>
          <xm:sqref>E11:E12</xm:sqref>
        </x14:dataValidation>
        <x14:dataValidation type="date" operator="lessThanOrEqual" allowBlank="1" showInputMessage="1" showErrorMessage="1" errorTitle="Nesprávny dátum" error="Zadajte dátum maximálne do 31. 12. 2020" prompt="Zadajte dátum obstarania" xr:uid="{00000000-0002-0000-0200-00000D000000}">
          <x14:formula1>
            <xm:f>List!$A$5</xm:f>
          </x14:formula1>
          <xm:sqref>C11:C12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P58"/>
  <sheetViews>
    <sheetView showGridLines="0" workbookViewId="0">
      <selection activeCell="F20" sqref="F20"/>
    </sheetView>
  </sheetViews>
  <sheetFormatPr defaultColWidth="9.140625" defaultRowHeight="14.25" customHeight="1" x14ac:dyDescent="0.15"/>
  <cols>
    <col min="1" max="1" width="1.7109375" style="92" customWidth="1"/>
    <col min="2" max="2" width="4.7109375" style="92" bestFit="1" customWidth="1"/>
    <col min="3" max="3" width="35.7109375" style="92" customWidth="1"/>
    <col min="4" max="4" width="1.7109375" style="92" customWidth="1"/>
    <col min="5" max="5" width="4.7109375" style="92" bestFit="1" customWidth="1"/>
    <col min="6" max="6" width="43.140625" style="92" bestFit="1" customWidth="1"/>
    <col min="7" max="7" width="1.7109375" style="92" customWidth="1"/>
    <col min="8" max="8" width="4.7109375" style="92" bestFit="1" customWidth="1"/>
    <col min="9" max="9" width="36.7109375" style="92" customWidth="1"/>
    <col min="10" max="10" width="1.7109375" style="92" customWidth="1"/>
    <col min="11" max="11" width="4.7109375" style="92" bestFit="1" customWidth="1"/>
    <col min="12" max="12" width="35.7109375" style="92" customWidth="1"/>
    <col min="13" max="13" width="1.7109375" style="92" customWidth="1"/>
    <col min="14" max="14" width="4.7109375" style="92" bestFit="1" customWidth="1"/>
    <col min="15" max="15" width="35.7109375" style="92" customWidth="1"/>
    <col min="16" max="16" width="1.7109375" style="92" customWidth="1"/>
    <col min="17" max="16384" width="9.140625" style="92"/>
  </cols>
  <sheetData>
    <row r="1" spans="1:16" ht="8.25" customHeight="1" thickBot="1" x14ac:dyDescent="0.35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</row>
    <row r="2" spans="1:16" s="88" customFormat="1" ht="41.25" customHeight="1" thickBot="1" x14ac:dyDescent="0.35">
      <c r="A2" s="90"/>
      <c r="B2" s="90"/>
      <c r="C2" s="328" t="s">
        <v>151</v>
      </c>
      <c r="D2" s="329"/>
      <c r="E2" s="329"/>
      <c r="F2" s="329"/>
      <c r="G2" s="329"/>
      <c r="H2" s="329"/>
      <c r="I2" s="330"/>
      <c r="J2" s="90"/>
      <c r="K2" s="90"/>
      <c r="L2" s="322" t="s">
        <v>120</v>
      </c>
      <c r="M2" s="323"/>
      <c r="N2" s="323"/>
      <c r="O2" s="324"/>
      <c r="P2" s="90"/>
    </row>
    <row r="3" spans="1:16" s="20" customFormat="1" x14ac:dyDescent="0.2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</row>
    <row r="4" spans="1:16" s="98" customFormat="1" ht="15.75" thickBot="1" x14ac:dyDescent="0.25">
      <c r="A4" s="96"/>
      <c r="B4" s="96"/>
      <c r="C4" s="96" t="s">
        <v>53</v>
      </c>
      <c r="D4" s="96"/>
      <c r="E4" s="96"/>
      <c r="F4" s="96" t="s">
        <v>57</v>
      </c>
      <c r="G4" s="96"/>
      <c r="H4" s="96"/>
      <c r="I4" s="96" t="s">
        <v>119</v>
      </c>
      <c r="J4" s="96"/>
      <c r="K4" s="96"/>
      <c r="L4" s="97" t="s">
        <v>86</v>
      </c>
      <c r="M4" s="97"/>
      <c r="N4" s="97"/>
      <c r="O4" s="97" t="s">
        <v>87</v>
      </c>
      <c r="P4" s="96"/>
    </row>
    <row r="5" spans="1:16" s="95" customFormat="1" ht="14.25" customHeight="1" x14ac:dyDescent="0.15">
      <c r="A5" s="94"/>
      <c r="B5" s="325" t="s">
        <v>60</v>
      </c>
      <c r="C5" s="92" t="s">
        <v>132</v>
      </c>
      <c r="D5" s="94"/>
      <c r="E5" s="325" t="s">
        <v>61</v>
      </c>
      <c r="F5" s="92" t="s">
        <v>168</v>
      </c>
      <c r="G5" s="94"/>
      <c r="H5" s="325" t="s">
        <v>119</v>
      </c>
      <c r="I5" s="92" t="s">
        <v>143</v>
      </c>
      <c r="J5" s="94"/>
      <c r="K5" s="325" t="s">
        <v>62</v>
      </c>
      <c r="L5" s="92" t="s">
        <v>164</v>
      </c>
      <c r="M5" s="94"/>
      <c r="N5" s="325" t="s">
        <v>63</v>
      </c>
      <c r="O5" s="117" t="s">
        <v>88</v>
      </c>
      <c r="P5" s="94"/>
    </row>
    <row r="6" spans="1:16" ht="14.25" customHeight="1" x14ac:dyDescent="0.15">
      <c r="A6" s="93"/>
      <c r="B6" s="326"/>
      <c r="C6" s="117" t="s">
        <v>134</v>
      </c>
      <c r="D6" s="93"/>
      <c r="E6" s="326"/>
      <c r="F6" s="92" t="s">
        <v>137</v>
      </c>
      <c r="G6" s="93"/>
      <c r="H6" s="326"/>
      <c r="J6" s="93"/>
      <c r="K6" s="326"/>
      <c r="L6" s="117"/>
      <c r="M6" s="93"/>
      <c r="N6" s="326"/>
      <c r="O6" s="117" t="s">
        <v>89</v>
      </c>
      <c r="P6" s="93"/>
    </row>
    <row r="7" spans="1:16" ht="14.25" customHeight="1" x14ac:dyDescent="0.15">
      <c r="A7" s="93"/>
      <c r="B7" s="326"/>
      <c r="C7" s="92" t="s">
        <v>133</v>
      </c>
      <c r="D7" s="93"/>
      <c r="E7" s="326"/>
      <c r="F7" s="92" t="s">
        <v>169</v>
      </c>
      <c r="G7" s="93"/>
      <c r="H7" s="326"/>
      <c r="J7" s="93"/>
      <c r="K7" s="326"/>
      <c r="M7" s="93"/>
      <c r="N7" s="326"/>
      <c r="O7" s="92" t="s">
        <v>121</v>
      </c>
      <c r="P7" s="93"/>
    </row>
    <row r="8" spans="1:16" ht="14.25" customHeight="1" x14ac:dyDescent="0.15">
      <c r="A8" s="93"/>
      <c r="B8" s="326"/>
      <c r="C8" s="91" t="s">
        <v>131</v>
      </c>
      <c r="D8" s="93"/>
      <c r="E8" s="326"/>
      <c r="F8" s="92" t="s">
        <v>142</v>
      </c>
      <c r="G8" s="93"/>
      <c r="H8" s="326"/>
      <c r="J8" s="93"/>
      <c r="K8" s="326"/>
      <c r="M8" s="93"/>
      <c r="N8" s="326"/>
      <c r="O8" s="117" t="s">
        <v>123</v>
      </c>
      <c r="P8" s="93"/>
    </row>
    <row r="9" spans="1:16" ht="14.25" customHeight="1" x14ac:dyDescent="0.15">
      <c r="A9" s="93"/>
      <c r="B9" s="326"/>
      <c r="C9" s="163" t="s">
        <v>165</v>
      </c>
      <c r="D9" s="93"/>
      <c r="E9" s="326"/>
      <c r="F9" s="92" t="s">
        <v>138</v>
      </c>
      <c r="G9" s="93"/>
      <c r="H9" s="326"/>
      <c r="J9" s="93"/>
      <c r="K9" s="326"/>
      <c r="M9" s="93"/>
      <c r="N9" s="326"/>
      <c r="O9" s="117" t="s">
        <v>124</v>
      </c>
      <c r="P9" s="93"/>
    </row>
    <row r="10" spans="1:16" ht="14.25" customHeight="1" x14ac:dyDescent="0.15">
      <c r="A10" s="93"/>
      <c r="B10" s="326"/>
      <c r="C10" s="164" t="s">
        <v>183</v>
      </c>
      <c r="D10" s="93"/>
      <c r="E10" s="326"/>
      <c r="F10" s="92" t="s">
        <v>141</v>
      </c>
      <c r="G10" s="93"/>
      <c r="H10" s="326"/>
      <c r="J10" s="93"/>
      <c r="K10" s="326"/>
      <c r="M10" s="93"/>
      <c r="N10" s="326"/>
      <c r="O10" s="92" t="s">
        <v>147</v>
      </c>
      <c r="P10" s="93"/>
    </row>
    <row r="11" spans="1:16" ht="14.25" customHeight="1" x14ac:dyDescent="0.15">
      <c r="A11" s="93"/>
      <c r="B11" s="326"/>
      <c r="C11" s="231" t="s">
        <v>194</v>
      </c>
      <c r="D11" s="93"/>
      <c r="E11" s="326"/>
      <c r="F11" s="92" t="s">
        <v>136</v>
      </c>
      <c r="G11" s="93"/>
      <c r="H11" s="326"/>
      <c r="J11" s="93"/>
      <c r="K11" s="326"/>
      <c r="M11" s="93"/>
      <c r="N11" s="326"/>
      <c r="O11" s="117" t="s">
        <v>122</v>
      </c>
      <c r="P11" s="93"/>
    </row>
    <row r="12" spans="1:16" ht="14.25" customHeight="1" x14ac:dyDescent="0.15">
      <c r="A12" s="93"/>
      <c r="B12" s="326"/>
      <c r="D12" s="93"/>
      <c r="E12" s="326"/>
      <c r="F12" s="92" t="s">
        <v>140</v>
      </c>
      <c r="G12" s="93"/>
      <c r="H12" s="326"/>
      <c r="J12" s="93"/>
      <c r="K12" s="326"/>
      <c r="M12" s="93"/>
      <c r="N12" s="326"/>
      <c r="O12" s="164" t="s">
        <v>167</v>
      </c>
      <c r="P12" s="93"/>
    </row>
    <row r="13" spans="1:16" ht="14.25" customHeight="1" thickBot="1" x14ac:dyDescent="0.2">
      <c r="A13" s="93"/>
      <c r="B13" s="327"/>
      <c r="D13" s="93"/>
      <c r="E13" s="327"/>
      <c r="F13" s="92" t="s">
        <v>139</v>
      </c>
      <c r="G13" s="93"/>
      <c r="H13" s="327"/>
      <c r="J13" s="93"/>
      <c r="K13" s="327"/>
      <c r="M13" s="93"/>
      <c r="N13" s="327"/>
      <c r="O13" s="164" t="s">
        <v>180</v>
      </c>
      <c r="P13" s="93"/>
    </row>
    <row r="14" spans="1:16" ht="14.25" customHeight="1" x14ac:dyDescent="0.15">
      <c r="A14" s="93"/>
      <c r="B14" s="93"/>
      <c r="D14" s="93"/>
      <c r="E14" s="93"/>
      <c r="F14" s="91" t="s">
        <v>135</v>
      </c>
      <c r="G14" s="93"/>
      <c r="H14" s="93"/>
      <c r="J14" s="93"/>
      <c r="K14" s="93"/>
      <c r="M14" s="93"/>
      <c r="N14" s="93"/>
      <c r="O14" s="164" t="s">
        <v>164</v>
      </c>
      <c r="P14" s="93"/>
    </row>
    <row r="15" spans="1:16" ht="14.25" customHeight="1" x14ac:dyDescent="0.15">
      <c r="A15" s="93"/>
      <c r="B15" s="93"/>
      <c r="D15" s="93"/>
      <c r="E15" s="93"/>
      <c r="F15" s="92" t="s">
        <v>166</v>
      </c>
      <c r="G15" s="93"/>
      <c r="H15" s="93"/>
      <c r="J15" s="93"/>
      <c r="K15" s="93"/>
      <c r="M15" s="93"/>
      <c r="N15" s="93"/>
      <c r="O15" s="117"/>
      <c r="P15" s="93"/>
    </row>
    <row r="16" spans="1:16" ht="14.25" customHeight="1" x14ac:dyDescent="0.15">
      <c r="A16" s="93"/>
      <c r="B16" s="93"/>
      <c r="D16" s="93"/>
      <c r="E16" s="93"/>
      <c r="F16" s="164" t="s">
        <v>181</v>
      </c>
      <c r="G16" s="93"/>
      <c r="H16" s="93"/>
      <c r="J16" s="93"/>
      <c r="K16" s="93"/>
      <c r="M16" s="93"/>
      <c r="N16" s="93"/>
      <c r="P16" s="93"/>
    </row>
    <row r="17" spans="1:16" ht="14.25" customHeight="1" x14ac:dyDescent="0.15">
      <c r="A17" s="93"/>
      <c r="B17" s="93"/>
      <c r="D17" s="93"/>
      <c r="E17" s="93"/>
      <c r="F17" s="183" t="s">
        <v>182</v>
      </c>
      <c r="G17" s="93"/>
      <c r="H17" s="93"/>
      <c r="J17" s="93"/>
      <c r="K17" s="93"/>
      <c r="M17" s="93"/>
      <c r="N17" s="93"/>
      <c r="P17" s="93"/>
    </row>
    <row r="18" spans="1:16" ht="14.25" customHeight="1" x14ac:dyDescent="0.15">
      <c r="A18" s="93"/>
      <c r="B18" s="93"/>
      <c r="D18" s="93"/>
      <c r="E18" s="93"/>
      <c r="F18" s="231" t="s">
        <v>192</v>
      </c>
      <c r="G18" s="93"/>
      <c r="H18" s="93"/>
      <c r="J18" s="93"/>
      <c r="K18" s="93"/>
      <c r="M18" s="93"/>
      <c r="N18" s="93"/>
      <c r="O18" s="117"/>
      <c r="P18" s="93"/>
    </row>
    <row r="19" spans="1:16" ht="14.25" customHeight="1" x14ac:dyDescent="0.15">
      <c r="A19" s="93"/>
      <c r="B19" s="93"/>
      <c r="D19" s="93"/>
      <c r="E19" s="93" t="s">
        <v>199</v>
      </c>
      <c r="F19" s="263" t="s">
        <v>218</v>
      </c>
      <c r="G19" s="93"/>
      <c r="H19" s="93"/>
      <c r="J19" s="93"/>
      <c r="K19" s="93"/>
      <c r="M19" s="93"/>
      <c r="N19" s="93"/>
      <c r="O19" s="117"/>
      <c r="P19" s="93"/>
    </row>
    <row r="20" spans="1:16" ht="14.25" customHeight="1" x14ac:dyDescent="0.15">
      <c r="A20" s="93"/>
      <c r="B20" s="93"/>
      <c r="D20" s="93"/>
      <c r="E20" s="93"/>
      <c r="F20" s="160"/>
      <c r="G20" s="93"/>
      <c r="H20" s="93"/>
      <c r="J20" s="93"/>
      <c r="K20" s="93"/>
      <c r="M20" s="93"/>
      <c r="N20" s="93"/>
      <c r="P20" s="93"/>
    </row>
    <row r="21" spans="1:16" ht="14.25" customHeight="1" x14ac:dyDescent="0.15">
      <c r="A21" s="93"/>
      <c r="B21" s="93"/>
      <c r="D21" s="93"/>
      <c r="E21" s="93"/>
      <c r="F21" s="160"/>
      <c r="G21" s="93"/>
      <c r="H21" s="93"/>
      <c r="J21" s="93"/>
      <c r="K21" s="93"/>
      <c r="M21" s="93"/>
      <c r="N21" s="93"/>
      <c r="O21" s="117"/>
      <c r="P21" s="93"/>
    </row>
    <row r="22" spans="1:16" ht="14.25" customHeight="1" x14ac:dyDescent="0.15">
      <c r="A22" s="93"/>
      <c r="B22" s="93"/>
      <c r="D22" s="93"/>
      <c r="E22" s="93"/>
      <c r="F22" s="160"/>
      <c r="G22" s="93"/>
      <c r="H22" s="93"/>
      <c r="J22" s="93"/>
      <c r="K22" s="93"/>
      <c r="M22" s="93"/>
      <c r="N22" s="93"/>
      <c r="P22" s="93"/>
    </row>
    <row r="23" spans="1:16" ht="14.25" customHeight="1" x14ac:dyDescent="0.15">
      <c r="A23" s="93"/>
      <c r="B23" s="93"/>
      <c r="D23" s="93"/>
      <c r="E23" s="93"/>
      <c r="F23" s="160"/>
      <c r="G23" s="93"/>
      <c r="H23" s="93"/>
      <c r="J23" s="93"/>
      <c r="K23" s="93"/>
      <c r="M23" s="93"/>
      <c r="N23" s="93"/>
      <c r="P23" s="93"/>
    </row>
    <row r="24" spans="1:16" ht="14.25" customHeight="1" x14ac:dyDescent="0.15">
      <c r="A24" s="93"/>
      <c r="B24" s="93"/>
      <c r="D24" s="93"/>
      <c r="E24" s="93"/>
      <c r="F24" s="160"/>
      <c r="G24" s="93"/>
      <c r="H24" s="93"/>
      <c r="J24" s="93"/>
      <c r="K24" s="93"/>
      <c r="M24" s="93"/>
      <c r="N24" s="93"/>
      <c r="P24" s="93"/>
    </row>
    <row r="25" spans="1:16" ht="14.25" customHeight="1" x14ac:dyDescent="0.15">
      <c r="A25" s="93"/>
      <c r="B25" s="93"/>
      <c r="D25" s="93"/>
      <c r="E25" s="93"/>
      <c r="F25" s="160"/>
      <c r="G25" s="93"/>
      <c r="H25" s="93"/>
      <c r="J25" s="93"/>
      <c r="K25" s="93"/>
      <c r="M25" s="93"/>
      <c r="N25" s="93"/>
      <c r="P25" s="93"/>
    </row>
    <row r="26" spans="1:16" ht="14.25" customHeight="1" x14ac:dyDescent="0.15">
      <c r="A26" s="93"/>
      <c r="B26" s="93"/>
      <c r="D26" s="93"/>
      <c r="E26" s="93"/>
      <c r="F26" s="160"/>
      <c r="G26" s="93"/>
      <c r="H26" s="93"/>
      <c r="J26" s="93"/>
      <c r="K26" s="93"/>
      <c r="M26" s="93"/>
      <c r="N26" s="93"/>
      <c r="P26" s="93"/>
    </row>
    <row r="27" spans="1:16" ht="14.25" customHeight="1" x14ac:dyDescent="0.15">
      <c r="A27" s="93"/>
      <c r="B27" s="93"/>
      <c r="D27" s="93"/>
      <c r="E27" s="93"/>
      <c r="F27" s="160"/>
      <c r="G27" s="93"/>
      <c r="H27" s="93"/>
      <c r="J27" s="93"/>
      <c r="K27" s="93"/>
      <c r="M27" s="93"/>
      <c r="N27" s="93"/>
      <c r="P27" s="93"/>
    </row>
    <row r="28" spans="1:16" ht="14.25" customHeight="1" x14ac:dyDescent="0.15">
      <c r="A28" s="93"/>
      <c r="B28" s="93"/>
      <c r="D28" s="93"/>
      <c r="E28" s="93"/>
      <c r="F28" s="159"/>
      <c r="G28" s="93"/>
      <c r="H28" s="93"/>
      <c r="J28" s="93"/>
      <c r="K28" s="93"/>
      <c r="M28" s="93"/>
      <c r="N28" s="93"/>
      <c r="P28" s="93"/>
    </row>
    <row r="29" spans="1:16" ht="14.25" customHeight="1" x14ac:dyDescent="0.15">
      <c r="A29" s="93"/>
      <c r="B29" s="93"/>
      <c r="D29" s="93"/>
      <c r="E29" s="93"/>
      <c r="F29" s="160"/>
      <c r="G29" s="93"/>
      <c r="H29" s="93"/>
      <c r="J29" s="93"/>
      <c r="K29" s="93"/>
      <c r="M29" s="93"/>
      <c r="N29" s="93"/>
      <c r="P29" s="93"/>
    </row>
    <row r="30" spans="1:16" ht="14.25" customHeight="1" x14ac:dyDescent="0.15">
      <c r="A30" s="93"/>
      <c r="B30" s="93"/>
      <c r="D30" s="93"/>
      <c r="E30" s="93"/>
      <c r="G30" s="93"/>
      <c r="H30" s="93"/>
      <c r="J30" s="93"/>
      <c r="K30" s="93"/>
      <c r="M30" s="93"/>
      <c r="N30" s="93"/>
      <c r="P30" s="93"/>
    </row>
    <row r="31" spans="1:16" ht="14.25" customHeight="1" x14ac:dyDescent="0.15">
      <c r="A31" s="93"/>
      <c r="B31" s="93"/>
      <c r="D31" s="93"/>
      <c r="E31" s="93"/>
      <c r="G31" s="93"/>
      <c r="H31" s="93"/>
      <c r="J31" s="93"/>
      <c r="K31" s="93"/>
      <c r="M31" s="93"/>
      <c r="N31" s="93"/>
      <c r="P31" s="93"/>
    </row>
    <row r="32" spans="1:16" ht="14.25" customHeight="1" x14ac:dyDescent="0.15">
      <c r="A32" s="93"/>
      <c r="B32" s="93"/>
      <c r="D32" s="93"/>
      <c r="E32" s="93"/>
      <c r="G32" s="93"/>
      <c r="H32" s="93"/>
      <c r="J32" s="93"/>
      <c r="K32" s="93"/>
      <c r="M32" s="93"/>
      <c r="N32" s="93"/>
      <c r="P32" s="93"/>
    </row>
    <row r="33" spans="1:16" ht="14.25" customHeight="1" x14ac:dyDescent="0.15">
      <c r="A33" s="93"/>
      <c r="B33" s="93"/>
      <c r="D33" s="93"/>
      <c r="E33" s="93"/>
      <c r="G33" s="93"/>
      <c r="H33" s="93"/>
      <c r="J33" s="93"/>
      <c r="K33" s="93"/>
      <c r="M33" s="93"/>
      <c r="N33" s="93"/>
      <c r="P33" s="93"/>
    </row>
    <row r="34" spans="1:16" ht="14.25" customHeight="1" x14ac:dyDescent="0.15">
      <c r="A34" s="93"/>
      <c r="B34" s="93"/>
      <c r="D34" s="93"/>
      <c r="E34" s="93"/>
      <c r="G34" s="93"/>
      <c r="H34" s="93"/>
      <c r="J34" s="93"/>
      <c r="K34" s="93"/>
      <c r="M34" s="93"/>
      <c r="N34" s="93"/>
      <c r="P34" s="93"/>
    </row>
    <row r="35" spans="1:16" ht="14.25" customHeight="1" x14ac:dyDescent="0.15">
      <c r="A35" s="93"/>
      <c r="B35" s="93"/>
      <c r="D35" s="93"/>
      <c r="E35" s="93"/>
      <c r="G35" s="93"/>
      <c r="H35" s="93"/>
      <c r="J35" s="93"/>
      <c r="K35" s="93"/>
      <c r="M35" s="93"/>
      <c r="N35" s="93"/>
      <c r="P35" s="93"/>
    </row>
    <row r="36" spans="1:16" ht="14.25" customHeight="1" x14ac:dyDescent="0.15">
      <c r="A36" s="93"/>
      <c r="B36" s="93"/>
      <c r="D36" s="93"/>
      <c r="E36" s="93"/>
      <c r="G36" s="93"/>
      <c r="H36" s="93"/>
      <c r="J36" s="93"/>
      <c r="K36" s="93"/>
      <c r="M36" s="93"/>
      <c r="N36" s="93"/>
      <c r="P36" s="93"/>
    </row>
    <row r="37" spans="1:16" ht="14.25" customHeight="1" x14ac:dyDescent="0.15">
      <c r="A37" s="93"/>
      <c r="B37" s="93"/>
      <c r="D37" s="93"/>
      <c r="E37" s="93"/>
      <c r="G37" s="93"/>
      <c r="H37" s="93"/>
      <c r="J37" s="93"/>
      <c r="K37" s="93"/>
      <c r="M37" s="93"/>
      <c r="N37" s="93"/>
      <c r="P37" s="93"/>
    </row>
    <row r="38" spans="1:16" ht="14.25" customHeight="1" x14ac:dyDescent="0.15">
      <c r="A38" s="93"/>
      <c r="B38" s="93"/>
      <c r="D38" s="93"/>
      <c r="E38" s="93"/>
      <c r="G38" s="93"/>
      <c r="H38" s="93"/>
      <c r="J38" s="93"/>
      <c r="K38" s="93"/>
      <c r="M38" s="93"/>
      <c r="N38" s="93"/>
      <c r="P38" s="93"/>
    </row>
    <row r="39" spans="1:16" ht="14.25" customHeight="1" x14ac:dyDescent="0.15">
      <c r="A39" s="93"/>
      <c r="B39" s="93"/>
      <c r="D39" s="93"/>
      <c r="E39" s="93"/>
      <c r="G39" s="93"/>
      <c r="H39" s="93"/>
      <c r="J39" s="93"/>
      <c r="K39" s="93"/>
      <c r="M39" s="93"/>
      <c r="N39" s="93"/>
      <c r="P39" s="93"/>
    </row>
    <row r="40" spans="1:16" ht="14.25" customHeight="1" x14ac:dyDescent="0.15">
      <c r="A40" s="93"/>
      <c r="B40" s="93"/>
      <c r="D40" s="93"/>
      <c r="E40" s="93"/>
      <c r="G40" s="93"/>
      <c r="H40" s="93"/>
      <c r="J40" s="93"/>
      <c r="K40" s="93"/>
      <c r="M40" s="93"/>
      <c r="N40" s="93"/>
      <c r="P40" s="93"/>
    </row>
    <row r="41" spans="1:16" ht="14.25" customHeight="1" x14ac:dyDescent="0.15">
      <c r="A41" s="93"/>
      <c r="B41" s="93"/>
      <c r="D41" s="93"/>
      <c r="E41" s="93"/>
      <c r="G41" s="93"/>
      <c r="H41" s="93"/>
      <c r="J41" s="93"/>
      <c r="K41" s="93"/>
      <c r="M41" s="93"/>
      <c r="N41" s="93"/>
      <c r="P41" s="93"/>
    </row>
    <row r="42" spans="1:16" ht="14.25" customHeight="1" x14ac:dyDescent="0.15">
      <c r="A42" s="93"/>
      <c r="B42" s="93"/>
      <c r="D42" s="93"/>
      <c r="E42" s="93"/>
      <c r="G42" s="93"/>
      <c r="H42" s="93"/>
      <c r="J42" s="93"/>
      <c r="K42" s="93"/>
      <c r="M42" s="93"/>
      <c r="N42" s="93"/>
      <c r="P42" s="93"/>
    </row>
    <row r="43" spans="1:16" ht="14.25" customHeight="1" x14ac:dyDescent="0.15">
      <c r="A43" s="93"/>
      <c r="B43" s="93"/>
      <c r="D43" s="93"/>
      <c r="E43" s="93"/>
      <c r="G43" s="93"/>
      <c r="H43" s="93"/>
      <c r="J43" s="93"/>
      <c r="K43" s="93"/>
      <c r="M43" s="93"/>
      <c r="N43" s="93"/>
      <c r="P43" s="93"/>
    </row>
    <row r="44" spans="1:16" ht="14.25" customHeight="1" x14ac:dyDescent="0.15">
      <c r="A44" s="93"/>
      <c r="B44" s="93"/>
      <c r="D44" s="93"/>
      <c r="E44" s="93"/>
      <c r="G44" s="93"/>
      <c r="H44" s="93"/>
      <c r="J44" s="93"/>
      <c r="K44" s="93"/>
      <c r="M44" s="93"/>
      <c r="N44" s="93"/>
      <c r="P44" s="93"/>
    </row>
    <row r="45" spans="1:16" ht="14.25" customHeight="1" x14ac:dyDescent="0.15">
      <c r="A45" s="93"/>
      <c r="B45" s="93"/>
      <c r="D45" s="93"/>
      <c r="E45" s="93"/>
      <c r="G45" s="93"/>
      <c r="H45" s="93"/>
      <c r="J45" s="93"/>
      <c r="K45" s="93"/>
      <c r="M45" s="93"/>
      <c r="N45" s="93"/>
      <c r="P45" s="93"/>
    </row>
    <row r="46" spans="1:16" ht="14.25" customHeight="1" x14ac:dyDescent="0.15">
      <c r="A46" s="93"/>
      <c r="B46" s="93"/>
      <c r="D46" s="93"/>
      <c r="E46" s="93"/>
      <c r="G46" s="93"/>
      <c r="H46" s="93"/>
      <c r="J46" s="93"/>
      <c r="K46" s="93"/>
      <c r="M46" s="93"/>
      <c r="N46" s="93"/>
      <c r="P46" s="93"/>
    </row>
    <row r="47" spans="1:16" ht="14.25" customHeight="1" x14ac:dyDescent="0.15">
      <c r="A47" s="93"/>
      <c r="B47" s="93"/>
      <c r="D47" s="93"/>
      <c r="E47" s="93"/>
      <c r="G47" s="93"/>
      <c r="H47" s="93"/>
      <c r="J47" s="93"/>
      <c r="K47" s="93"/>
      <c r="M47" s="93"/>
      <c r="N47" s="93"/>
      <c r="P47" s="93"/>
    </row>
    <row r="48" spans="1:16" ht="14.25" customHeight="1" x14ac:dyDescent="0.15">
      <c r="A48" s="93"/>
      <c r="B48" s="93"/>
      <c r="D48" s="93"/>
      <c r="E48" s="93"/>
      <c r="G48" s="93"/>
      <c r="H48" s="93"/>
      <c r="J48" s="93"/>
      <c r="K48" s="93"/>
      <c r="M48" s="93"/>
      <c r="N48" s="93"/>
      <c r="P48" s="93"/>
    </row>
    <row r="49" spans="1:16" ht="14.25" customHeight="1" x14ac:dyDescent="0.15">
      <c r="A49" s="93"/>
      <c r="B49" s="93"/>
      <c r="D49" s="93"/>
      <c r="E49" s="93"/>
      <c r="G49" s="93"/>
      <c r="H49" s="93"/>
      <c r="J49" s="93"/>
      <c r="K49" s="93"/>
      <c r="M49" s="93"/>
      <c r="N49" s="93"/>
      <c r="P49" s="93"/>
    </row>
    <row r="50" spans="1:16" ht="14.25" customHeight="1" x14ac:dyDescent="0.15">
      <c r="A50" s="93"/>
      <c r="B50" s="93"/>
      <c r="D50" s="93"/>
      <c r="E50" s="93"/>
      <c r="G50" s="93"/>
      <c r="H50" s="93"/>
      <c r="J50" s="93"/>
      <c r="K50" s="93"/>
      <c r="M50" s="93"/>
      <c r="N50" s="93"/>
      <c r="P50" s="93"/>
    </row>
    <row r="51" spans="1:16" ht="14.25" customHeight="1" x14ac:dyDescent="0.15">
      <c r="A51" s="93"/>
      <c r="B51" s="93"/>
      <c r="D51" s="93"/>
      <c r="E51" s="93"/>
      <c r="G51" s="93"/>
      <c r="H51" s="93"/>
      <c r="J51" s="93"/>
      <c r="K51" s="93"/>
      <c r="M51" s="93"/>
      <c r="N51" s="93"/>
      <c r="P51" s="93"/>
    </row>
    <row r="52" spans="1:16" ht="14.25" customHeight="1" x14ac:dyDescent="0.15">
      <c r="A52" s="93"/>
      <c r="B52" s="93"/>
      <c r="D52" s="93"/>
      <c r="E52" s="93"/>
      <c r="G52" s="93"/>
      <c r="H52" s="93"/>
      <c r="J52" s="93"/>
      <c r="K52" s="93"/>
      <c r="M52" s="93"/>
      <c r="N52" s="93"/>
      <c r="P52" s="93"/>
    </row>
    <row r="53" spans="1:16" ht="14.25" customHeight="1" x14ac:dyDescent="0.15">
      <c r="A53" s="93"/>
      <c r="B53" s="93"/>
      <c r="D53" s="93"/>
      <c r="E53" s="93"/>
      <c r="G53" s="93"/>
      <c r="H53" s="93"/>
      <c r="J53" s="93"/>
      <c r="K53" s="93"/>
      <c r="M53" s="93"/>
      <c r="N53" s="93"/>
      <c r="P53" s="93"/>
    </row>
    <row r="54" spans="1:16" ht="14.25" customHeight="1" x14ac:dyDescent="0.15">
      <c r="A54" s="93"/>
      <c r="B54" s="93"/>
      <c r="D54" s="93"/>
      <c r="E54" s="93"/>
      <c r="G54" s="93"/>
      <c r="H54" s="93"/>
      <c r="J54" s="93"/>
      <c r="K54" s="93"/>
      <c r="M54" s="93"/>
      <c r="N54" s="93"/>
      <c r="P54" s="93"/>
    </row>
    <row r="55" spans="1:16" ht="14.25" customHeight="1" x14ac:dyDescent="0.15">
      <c r="A55" s="93"/>
      <c r="B55" s="93"/>
      <c r="D55" s="93"/>
      <c r="E55" s="93"/>
      <c r="G55" s="93"/>
      <c r="H55" s="93"/>
      <c r="J55" s="93"/>
      <c r="K55" s="93"/>
      <c r="M55" s="93"/>
      <c r="N55" s="93"/>
      <c r="P55" s="93"/>
    </row>
    <row r="56" spans="1:16" ht="14.25" customHeight="1" x14ac:dyDescent="0.15">
      <c r="A56" s="93"/>
      <c r="B56" s="93"/>
      <c r="D56" s="93"/>
      <c r="E56" s="93"/>
      <c r="G56" s="93"/>
      <c r="H56" s="93"/>
      <c r="J56" s="93"/>
      <c r="K56" s="93"/>
      <c r="M56" s="93"/>
      <c r="N56" s="93"/>
      <c r="P56" s="93"/>
    </row>
    <row r="57" spans="1:16" ht="14.25" customHeight="1" x14ac:dyDescent="0.15">
      <c r="A57" s="93"/>
      <c r="B57" s="93"/>
      <c r="D57" s="93"/>
      <c r="E57" s="93"/>
      <c r="G57" s="93"/>
      <c r="H57" s="93"/>
      <c r="J57" s="93"/>
      <c r="K57" s="93"/>
      <c r="M57" s="93"/>
      <c r="N57" s="93"/>
      <c r="P57" s="93"/>
    </row>
    <row r="58" spans="1:16" ht="14.25" customHeight="1" x14ac:dyDescent="0.15">
      <c r="A58" s="93"/>
      <c r="B58" s="93"/>
      <c r="D58" s="93"/>
      <c r="E58" s="93"/>
      <c r="G58" s="93"/>
      <c r="H58" s="93"/>
      <c r="J58" s="93"/>
      <c r="K58" s="93"/>
      <c r="M58" s="93"/>
      <c r="N58" s="93"/>
      <c r="P58" s="93"/>
    </row>
  </sheetData>
  <sheetProtection formatCells="0" formatColumns="0" formatRows="0" insertColumns="0" insertRows="0" insertHyperlinks="0" deleteColumns="0" deleteRows="0" selectLockedCells="1" sort="0" autoFilter="0" pivotTables="0"/>
  <mergeCells count="7">
    <mergeCell ref="L2:O2"/>
    <mergeCell ref="E5:E13"/>
    <mergeCell ref="K5:K13"/>
    <mergeCell ref="N5:N13"/>
    <mergeCell ref="B5:B13"/>
    <mergeCell ref="H5:H13"/>
    <mergeCell ref="C2:I2"/>
  </mergeCells>
  <hyperlinks>
    <hyperlink ref="C2:F2" location="'Daňová evidencia'!A1" display="Späť do hárku &quot;DAŇOVÁ EVIDENCIA&quot;" xr:uid="{00000000-0004-0000-0300-000000000000}"/>
    <hyperlink ref="L2:O2" location="'Pohľadávky a záväzky'!A1" display="Späť do hárku &quot;POHĽADÁVKY A ZÁVäZKY&quot;" xr:uid="{00000000-0004-0000-0300-000001000000}"/>
    <hyperlink ref="C2:I2" location="'Príjmy a výdavky'!A1" display="Späť do hárku &quot;PRÍJMY A VÝDAVKY&quot;" xr:uid="{00000000-0004-0000-0300-000002000000}"/>
  </hyperlinks>
  <pageMargins left="0.70866141732283472" right="0.70866141732283472" top="0.74803149606299213" bottom="0.74803149606299213" header="0.31496062992125984" footer="0.31496062992125984"/>
  <pageSetup paperSize="9" scale="59" fitToHeight="0" orientation="landscape" blackAndWhite="1"/>
  <tableParts count="5">
    <tablePart r:id="rId1"/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CC66"/>
    <pageSetUpPr fitToPage="1"/>
  </sheetPr>
  <dimension ref="B1:G44"/>
  <sheetViews>
    <sheetView showGridLines="0" topLeftCell="A17" zoomScaleNormal="100" workbookViewId="0">
      <selection activeCell="F29" sqref="F29"/>
    </sheetView>
  </sheetViews>
  <sheetFormatPr defaultRowHeight="15" x14ac:dyDescent="0.25"/>
  <cols>
    <col min="1" max="1" width="5.7109375" customWidth="1"/>
    <col min="2" max="2" width="50.7109375" customWidth="1"/>
    <col min="3" max="3" width="38.28515625" bestFit="1" customWidth="1"/>
    <col min="5" max="5" width="50.7109375" customWidth="1"/>
    <col min="6" max="6" width="38.85546875" customWidth="1"/>
    <col min="7" max="7" width="5.7109375" customWidth="1"/>
  </cols>
  <sheetData>
    <row r="1" spans="2:7" ht="45.75" customHeight="1" x14ac:dyDescent="0.6">
      <c r="B1" s="331" t="s">
        <v>153</v>
      </c>
      <c r="C1" s="331"/>
      <c r="D1" s="331"/>
      <c r="E1" s="331"/>
      <c r="F1" s="331"/>
      <c r="G1" s="133"/>
    </row>
    <row r="2" spans="2:7" ht="45.75" customHeight="1" x14ac:dyDescent="0.6">
      <c r="B2" s="134"/>
      <c r="C2" s="134"/>
      <c r="D2" s="134"/>
      <c r="E2" s="134"/>
      <c r="F2" s="134"/>
      <c r="G2" s="133"/>
    </row>
    <row r="3" spans="2:7" ht="45.75" customHeight="1" x14ac:dyDescent="0.6">
      <c r="B3" s="333"/>
      <c r="C3" s="333"/>
      <c r="D3" s="333"/>
      <c r="E3" s="333"/>
      <c r="F3" s="333"/>
      <c r="G3" s="133"/>
    </row>
    <row r="4" spans="2:7" ht="67.5" customHeight="1" x14ac:dyDescent="0.25">
      <c r="B4" s="332"/>
      <c r="C4" s="332"/>
      <c r="D4" s="332"/>
      <c r="E4" s="332"/>
      <c r="F4" s="332"/>
    </row>
    <row r="5" spans="2:7" ht="59.25" customHeight="1" x14ac:dyDescent="0.25">
      <c r="B5" s="65" t="s">
        <v>5</v>
      </c>
      <c r="C5" s="65"/>
      <c r="D5" s="65"/>
      <c r="E5" s="65"/>
      <c r="F5" s="66">
        <f>SUM(F6:F10)</f>
        <v>226186.08166666667</v>
      </c>
    </row>
    <row r="6" spans="2:7" ht="30" customHeight="1" x14ac:dyDescent="0.25">
      <c r="B6" s="67" t="s">
        <v>9</v>
      </c>
      <c r="C6" s="67"/>
      <c r="D6" s="67"/>
      <c r="E6" s="67"/>
      <c r="F6" s="68">
        <f>C13</f>
        <v>225575.00166666668</v>
      </c>
    </row>
    <row r="7" spans="2:7" ht="30" customHeight="1" x14ac:dyDescent="0.25">
      <c r="B7" s="67" t="s">
        <v>93</v>
      </c>
      <c r="C7" s="67"/>
      <c r="D7" s="67"/>
      <c r="E7" s="67"/>
      <c r="F7" s="68">
        <f>C19</f>
        <v>0</v>
      </c>
    </row>
    <row r="8" spans="2:7" ht="30" customHeight="1" x14ac:dyDescent="0.25">
      <c r="B8" s="67" t="s">
        <v>92</v>
      </c>
      <c r="C8" s="67"/>
      <c r="D8" s="67"/>
      <c r="E8" s="67"/>
      <c r="F8" s="69">
        <f>C25</f>
        <v>0</v>
      </c>
    </row>
    <row r="9" spans="2:7" ht="30" customHeight="1" x14ac:dyDescent="0.25">
      <c r="B9" s="67" t="s">
        <v>6</v>
      </c>
      <c r="C9" s="67"/>
      <c r="D9" s="67"/>
      <c r="E9" s="67"/>
      <c r="F9" s="69">
        <f>C31</f>
        <v>0</v>
      </c>
    </row>
    <row r="10" spans="2:7" ht="30" customHeight="1" x14ac:dyDescent="0.25">
      <c r="B10" s="67" t="s">
        <v>91</v>
      </c>
      <c r="C10" s="67"/>
      <c r="D10" s="67"/>
      <c r="E10" s="67"/>
      <c r="F10" s="69">
        <f>F13</f>
        <v>611.07999999999993</v>
      </c>
    </row>
    <row r="11" spans="2:7" ht="30" customHeight="1" x14ac:dyDescent="0.25">
      <c r="B11" s="70"/>
      <c r="C11" s="70"/>
      <c r="D11" s="70"/>
      <c r="E11" s="70"/>
      <c r="F11" s="70"/>
    </row>
    <row r="12" spans="2:7" ht="30" customHeight="1" x14ac:dyDescent="0.25"/>
    <row r="13" spans="2:7" ht="30" customHeight="1" x14ac:dyDescent="0.25">
      <c r="B13" s="3" t="s">
        <v>28</v>
      </c>
      <c r="C13" s="71">
        <f>C17</f>
        <v>225575.00166666668</v>
      </c>
      <c r="E13" s="3" t="s">
        <v>90</v>
      </c>
      <c r="F13" s="71">
        <f>SUM(F14:F16)</f>
        <v>611.07999999999993</v>
      </c>
    </row>
    <row r="14" spans="2:7" ht="30" customHeight="1" x14ac:dyDescent="0.25">
      <c r="B14" s="12" t="s">
        <v>30</v>
      </c>
      <c r="C14" s="14">
        <f>'Zásoby a majetok'!F7</f>
        <v>229613</v>
      </c>
      <c r="E14" s="12" t="s">
        <v>7</v>
      </c>
      <c r="F14" s="14">
        <f>F19</f>
        <v>0</v>
      </c>
    </row>
    <row r="15" spans="2:7" ht="30" customHeight="1" x14ac:dyDescent="0.25">
      <c r="B15" s="12" t="s">
        <v>32</v>
      </c>
      <c r="C15" s="14">
        <f>SUMIFS('Zásoby a majetok'!L11:L4988,'Zásoby a majetok'!E11:E4988,"Dlhodobý majetok")</f>
        <v>1730</v>
      </c>
      <c r="E15" s="12" t="s">
        <v>8</v>
      </c>
      <c r="F15" s="14">
        <f>F25</f>
        <v>611.07999999999993</v>
      </c>
    </row>
    <row r="16" spans="2:7" ht="30" customHeight="1" x14ac:dyDescent="0.25">
      <c r="B16" s="12" t="s">
        <v>34</v>
      </c>
      <c r="C16" s="14">
        <f>SUMIFS('Zásoby a majetok'!L11:L4988,'Zásoby a majetok'!E11:E4988,"Odpisy")+SUMIFS('Zásoby a majetok'!L11:L4988,'Zásoby a majetok'!E11:E4988,"Odpisy, ktoré nemožno uplatniť")</f>
        <v>-5767.998333333333</v>
      </c>
      <c r="E16" s="12" t="s">
        <v>10</v>
      </c>
      <c r="F16" s="14">
        <f>F31</f>
        <v>0</v>
      </c>
    </row>
    <row r="17" spans="2:6" ht="30" customHeight="1" x14ac:dyDescent="0.25">
      <c r="B17" s="13" t="s">
        <v>36</v>
      </c>
      <c r="C17" s="15">
        <f>C14+C15+C16</f>
        <v>225575.00166666668</v>
      </c>
      <c r="E17" s="13"/>
      <c r="F17" s="15"/>
    </row>
    <row r="18" spans="2:6" ht="30" customHeight="1" x14ac:dyDescent="0.25">
      <c r="B18" s="72"/>
      <c r="C18" s="72"/>
    </row>
    <row r="19" spans="2:6" ht="30" customHeight="1" x14ac:dyDescent="0.25">
      <c r="B19" s="3" t="s">
        <v>94</v>
      </c>
      <c r="C19" s="71">
        <f>C23</f>
        <v>0</v>
      </c>
      <c r="E19" s="4" t="s">
        <v>12</v>
      </c>
      <c r="F19" s="5">
        <f>F23</f>
        <v>0</v>
      </c>
    </row>
    <row r="20" spans="2:6" ht="30" customHeight="1" x14ac:dyDescent="0.25">
      <c r="B20" s="12" t="s">
        <v>97</v>
      </c>
      <c r="C20" s="14">
        <f>'Zásoby a majetok'!F6</f>
        <v>0</v>
      </c>
      <c r="E20" s="6" t="s">
        <v>14</v>
      </c>
      <c r="F20" s="7">
        <f>'Príjmy a výdavky'!E5</f>
        <v>0</v>
      </c>
    </row>
    <row r="21" spans="2:6" ht="30" customHeight="1" x14ac:dyDescent="0.25">
      <c r="B21" s="12" t="s">
        <v>113</v>
      </c>
      <c r="C21" s="14">
        <f>SUMIFS('Zásoby a majetok'!L11:L4988,'Zásoby a majetok'!E11:E4988,"Krátkodobý majetok")</f>
        <v>0</v>
      </c>
      <c r="E21" s="6" t="s">
        <v>16</v>
      </c>
      <c r="F21" s="7">
        <f>SUMIFS('Príjmy a výdavky'!J12:J4970,'Príjmy a výdavky'!E12:E4970,"Pokladňa",'Príjmy a výdavky'!D12:D4970,"Príjem")</f>
        <v>0</v>
      </c>
    </row>
    <row r="22" spans="2:6" ht="30" customHeight="1" x14ac:dyDescent="0.25">
      <c r="B22" s="12"/>
      <c r="C22" s="14"/>
      <c r="E22" s="8" t="s">
        <v>18</v>
      </c>
      <c r="F22" s="9">
        <f>SUMIFS('Príjmy a výdavky'!M12:M4970,'Príjmy a výdavky'!E12:E4970,"Pokladňa",'Príjmy a výdavky'!D12:D4970,"Výdaj")</f>
        <v>0</v>
      </c>
    </row>
    <row r="23" spans="2:6" ht="30" customHeight="1" x14ac:dyDescent="0.25">
      <c r="B23" s="13" t="s">
        <v>36</v>
      </c>
      <c r="C23" s="15">
        <f>C20+C21-C22</f>
        <v>0</v>
      </c>
      <c r="E23" s="10" t="s">
        <v>20</v>
      </c>
      <c r="F23" s="11">
        <f>F20+F21-F22</f>
        <v>0</v>
      </c>
    </row>
    <row r="24" spans="2:6" ht="30" customHeight="1" x14ac:dyDescent="0.25">
      <c r="B24" s="16"/>
      <c r="C24" s="17"/>
      <c r="E24" s="72"/>
      <c r="F24" s="72"/>
    </row>
    <row r="25" spans="2:6" ht="30" customHeight="1" x14ac:dyDescent="0.25">
      <c r="B25" s="3" t="s">
        <v>95</v>
      </c>
      <c r="C25" s="71">
        <f>C29</f>
        <v>0</v>
      </c>
      <c r="E25" s="4" t="s">
        <v>22</v>
      </c>
      <c r="F25" s="5">
        <f>F29</f>
        <v>611.07999999999993</v>
      </c>
    </row>
    <row r="26" spans="2:6" ht="30" customHeight="1" x14ac:dyDescent="0.25">
      <c r="B26" s="12" t="s">
        <v>96</v>
      </c>
      <c r="C26" s="14">
        <f>'Zásoby a majetok'!F5</f>
        <v>0</v>
      </c>
      <c r="E26" s="6" t="s">
        <v>24</v>
      </c>
      <c r="F26" s="7">
        <f>'Príjmy a výdavky'!E6</f>
        <v>1957.76</v>
      </c>
    </row>
    <row r="27" spans="2:6" ht="30" customHeight="1" x14ac:dyDescent="0.25">
      <c r="B27" s="12" t="s">
        <v>110</v>
      </c>
      <c r="C27" s="14">
        <f>SUMIFS('Zásoby a majetok'!L11:L4988,'Zásoby a majetok'!E11:E4988,"Zásoba",'Zásoby a majetok'!L11:L4988,"&gt;0")</f>
        <v>0</v>
      </c>
      <c r="E27" s="6" t="s">
        <v>25</v>
      </c>
      <c r="F27" s="7">
        <f>SUMIFS('Príjmy a výdavky'!J12:J4970,'Príjmy a výdavky'!E12:E4970,"Banka 1",'Príjmy a výdavky'!D12:D4970,"Príjem")</f>
        <v>7210.1600000000017</v>
      </c>
    </row>
    <row r="28" spans="2:6" ht="30" customHeight="1" x14ac:dyDescent="0.25">
      <c r="B28" s="12" t="s">
        <v>111</v>
      </c>
      <c r="C28" s="14">
        <f>SUMIFS('Zásoby a majetok'!L11:L4988,'Zásoby a majetok'!E11:E4988,"Zásoba",'Zásoby a majetok'!L11:L4988,"&lt;0")</f>
        <v>0</v>
      </c>
      <c r="E28" s="8" t="s">
        <v>26</v>
      </c>
      <c r="F28" s="9">
        <f>SUMIFS('Príjmy a výdavky'!M12:M4970,'Príjmy a výdavky'!E12:E4970,"Banka 1",'Príjmy a výdavky'!D12:D4970,"Výdaj")</f>
        <v>8556.840000000002</v>
      </c>
    </row>
    <row r="29" spans="2:6" ht="30" customHeight="1" x14ac:dyDescent="0.25">
      <c r="B29" s="13" t="s">
        <v>112</v>
      </c>
      <c r="C29" s="15">
        <f>C26+C27+C28</f>
        <v>0</v>
      </c>
      <c r="E29" s="10" t="s">
        <v>27</v>
      </c>
      <c r="F29" s="11">
        <f>F26+F27-F28</f>
        <v>611.07999999999993</v>
      </c>
    </row>
    <row r="30" spans="2:6" ht="30" customHeight="1" x14ac:dyDescent="0.25">
      <c r="B30" s="72"/>
      <c r="C30" s="72"/>
      <c r="E30" s="72"/>
      <c r="F30" s="72"/>
    </row>
    <row r="31" spans="2:6" ht="30" customHeight="1" x14ac:dyDescent="0.25">
      <c r="B31" s="3" t="s">
        <v>11</v>
      </c>
      <c r="C31" s="71">
        <f>C35</f>
        <v>0</v>
      </c>
      <c r="E31" s="4" t="s">
        <v>29</v>
      </c>
      <c r="F31" s="5">
        <f>F35</f>
        <v>0</v>
      </c>
    </row>
    <row r="32" spans="2:6" ht="30" customHeight="1" x14ac:dyDescent="0.25">
      <c r="B32" s="12" t="s">
        <v>13</v>
      </c>
      <c r="C32" s="14">
        <f>'Pohľadávky a záväzky'!F6</f>
        <v>0</v>
      </c>
      <c r="E32" s="6" t="s">
        <v>31</v>
      </c>
      <c r="F32" s="7">
        <f>'Príjmy a výdavky'!E7</f>
        <v>0</v>
      </c>
    </row>
    <row r="33" spans="2:6" ht="30" customHeight="1" x14ac:dyDescent="0.25">
      <c r="B33" s="12" t="s">
        <v>15</v>
      </c>
      <c r="C33" s="14">
        <f>SUMIFS('Pohľadávky a záväzky'!K:K,'Pohľadávky a záväzky'!F:F,"P")</f>
        <v>0</v>
      </c>
      <c r="E33" s="6" t="s">
        <v>33</v>
      </c>
      <c r="F33" s="7">
        <f>SUMIFS('Príjmy a výdavky'!J12:J4970,'Príjmy a výdavky'!E12:E4970,"Banka 2",'Príjmy a výdavky'!D12:D4970,"Príjem")</f>
        <v>8556.840000000002</v>
      </c>
    </row>
    <row r="34" spans="2:6" ht="30" customHeight="1" x14ac:dyDescent="0.25">
      <c r="B34" s="12" t="s">
        <v>17</v>
      </c>
      <c r="C34" s="14">
        <f>SUMIFS('Pohľadávky a záväzky'!M:M,'Pohľadávky a záväzky'!F:F,"P")</f>
        <v>0</v>
      </c>
      <c r="E34" s="8" t="s">
        <v>35</v>
      </c>
      <c r="F34" s="9">
        <f>SUMIFS('Príjmy a výdavky'!M12:M4970,'Príjmy a výdavky'!E12:E4970,"Banka 2",'Príjmy a výdavky'!D12:D4970,"Výdaj")</f>
        <v>8556.84</v>
      </c>
    </row>
    <row r="35" spans="2:6" ht="30" customHeight="1" x14ac:dyDescent="0.25">
      <c r="B35" s="13" t="s">
        <v>19</v>
      </c>
      <c r="C35" s="15">
        <f>C32+C33-C34</f>
        <v>0</v>
      </c>
      <c r="E35" s="10" t="s">
        <v>37</v>
      </c>
      <c r="F35" s="11">
        <f>F32+F33-F34</f>
        <v>0</v>
      </c>
    </row>
    <row r="36" spans="2:6" ht="30" customHeight="1" x14ac:dyDescent="0.25"/>
    <row r="37" spans="2:6" ht="118.5" customHeight="1" x14ac:dyDescent="0.25"/>
    <row r="38" spans="2:6" ht="30" customHeight="1" x14ac:dyDescent="0.25"/>
    <row r="39" spans="2:6" s="73" customFormat="1" ht="59.25" customHeight="1" x14ac:dyDescent="0.6">
      <c r="B39" s="65" t="s">
        <v>21</v>
      </c>
      <c r="C39" s="65"/>
      <c r="D39" s="65"/>
      <c r="E39" s="65"/>
      <c r="F39" s="66">
        <f>F43</f>
        <v>650.00000000000011</v>
      </c>
    </row>
    <row r="40" spans="2:6" ht="30" customHeight="1" x14ac:dyDescent="0.25">
      <c r="B40" s="74" t="s">
        <v>115</v>
      </c>
      <c r="C40" s="74"/>
      <c r="D40" s="74"/>
      <c r="E40" s="74"/>
      <c r="F40" s="68">
        <f>'Pohľadávky a záväzky'!F7</f>
        <v>650</v>
      </c>
    </row>
    <row r="41" spans="2:6" ht="30" customHeight="1" x14ac:dyDescent="0.25">
      <c r="B41" s="74" t="s">
        <v>116</v>
      </c>
      <c r="C41" s="74"/>
      <c r="D41" s="74"/>
      <c r="E41" s="74"/>
      <c r="F41" s="68">
        <f>SUMIFS('Pohľadávky a záväzky'!K:K,'Pohľadávky a záväzky'!F:F,"Z")</f>
        <v>731.24000000000012</v>
      </c>
    </row>
    <row r="42" spans="2:6" ht="30" customHeight="1" x14ac:dyDescent="0.25">
      <c r="B42" s="74" t="s">
        <v>117</v>
      </c>
      <c r="C42" s="74"/>
      <c r="D42" s="74"/>
      <c r="E42" s="74"/>
      <c r="F42" s="69">
        <f>SUMIFS('Pohľadávky a záväzky'!M:M,'Pohľadávky a záväzky'!F:F,"Z")</f>
        <v>731.24000000000012</v>
      </c>
    </row>
    <row r="43" spans="2:6" ht="30" customHeight="1" x14ac:dyDescent="0.25">
      <c r="B43" s="81" t="s">
        <v>118</v>
      </c>
      <c r="C43" s="81"/>
      <c r="D43" s="81"/>
      <c r="E43" s="81"/>
      <c r="F43" s="116">
        <f>F40+F41-F42</f>
        <v>650.00000000000011</v>
      </c>
    </row>
    <row r="44" spans="2:6" ht="30" customHeight="1" x14ac:dyDescent="0.25"/>
  </sheetData>
  <sheetProtection selectLockedCells="1" selectUnlockedCells="1"/>
  <mergeCells count="3">
    <mergeCell ref="B1:F1"/>
    <mergeCell ref="B4:F4"/>
    <mergeCell ref="B3:F3"/>
  </mergeCells>
  <pageMargins left="0.70866141732283472" right="0.70866141732283472" top="0.74803149606299213" bottom="0.74803149606299213" header="0.31496062992125984" footer="0.31496062992125984"/>
  <pageSetup paperSize="9" scale="46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CC66"/>
    <pageSetUpPr fitToPage="1"/>
  </sheetPr>
  <dimension ref="B1:G60"/>
  <sheetViews>
    <sheetView showGridLines="0" topLeftCell="A11" zoomScale="68" workbookViewId="0">
      <selection activeCell="E17" sqref="E17"/>
    </sheetView>
  </sheetViews>
  <sheetFormatPr defaultColWidth="9.140625" defaultRowHeight="26.25" customHeight="1" x14ac:dyDescent="0.25"/>
  <cols>
    <col min="1" max="1" width="5.7109375" style="123" customWidth="1"/>
    <col min="2" max="2" width="47.28515625" style="123" bestFit="1" customWidth="1"/>
    <col min="3" max="3" width="27.28515625" style="123" bestFit="1" customWidth="1"/>
    <col min="4" max="4" width="31.5703125" style="123" bestFit="1" customWidth="1"/>
    <col min="5" max="5" width="29.7109375" style="123" bestFit="1" customWidth="1"/>
    <col min="6" max="6" width="33" style="123" bestFit="1" customWidth="1"/>
    <col min="7" max="7" width="26.140625" style="123" bestFit="1" customWidth="1"/>
    <col min="8" max="16384" width="9.140625" style="123"/>
  </cols>
  <sheetData>
    <row r="1" spans="2:7" ht="45.75" x14ac:dyDescent="0.25">
      <c r="B1" s="334" t="s">
        <v>152</v>
      </c>
      <c r="C1" s="334"/>
      <c r="D1" s="334"/>
      <c r="E1" s="334"/>
      <c r="F1" s="334"/>
    </row>
    <row r="2" spans="2:7" customFormat="1" ht="45.75" customHeight="1" x14ac:dyDescent="0.6">
      <c r="B2" s="134"/>
      <c r="C2" s="134"/>
      <c r="D2" s="134"/>
      <c r="E2" s="134"/>
      <c r="F2" s="134"/>
      <c r="G2" s="133"/>
    </row>
    <row r="3" spans="2:7" customFormat="1" ht="45.75" customHeight="1" x14ac:dyDescent="0.6">
      <c r="B3" s="337"/>
      <c r="C3" s="337"/>
      <c r="D3" s="337"/>
      <c r="E3" s="337"/>
      <c r="F3" s="337"/>
      <c r="G3" s="133"/>
    </row>
    <row r="4" spans="2:7" customFormat="1" ht="67.5" customHeight="1" x14ac:dyDescent="0.25">
      <c r="B4" s="332"/>
      <c r="C4" s="332"/>
      <c r="D4" s="332"/>
      <c r="E4" s="332"/>
      <c r="F4" s="332"/>
    </row>
    <row r="5" spans="2:7" s="122" customFormat="1" ht="59.25" customHeight="1" x14ac:dyDescent="0.25">
      <c r="B5" s="53" t="s">
        <v>0</v>
      </c>
      <c r="C5" s="54"/>
      <c r="E5"/>
      <c r="F5"/>
    </row>
    <row r="6" spans="2:7" ht="26.25" customHeight="1" x14ac:dyDescent="0.25">
      <c r="B6" s="55" t="s">
        <v>2</v>
      </c>
      <c r="C6" s="56">
        <f>SUM('Príjmy a výdavky'!H11:H4969)</f>
        <v>7210</v>
      </c>
      <c r="E6" s="335" t="s">
        <v>4</v>
      </c>
      <c r="F6" s="335"/>
    </row>
    <row r="7" spans="2:7" ht="26.25" customHeight="1" x14ac:dyDescent="0.25">
      <c r="B7" s="57" t="s">
        <v>3</v>
      </c>
      <c r="C7" s="56">
        <f>SUM('Príjmy a výdavky'!I11:I4969)</f>
        <v>8557.0000000000018</v>
      </c>
      <c r="E7" s="335"/>
      <c r="F7" s="335"/>
    </row>
    <row r="8" spans="2:7" ht="26.25" customHeight="1" x14ac:dyDescent="0.25">
      <c r="B8" s="58"/>
      <c r="C8" s="58"/>
      <c r="E8" s="335"/>
      <c r="F8" s="335"/>
    </row>
    <row r="9" spans="2:7" ht="50.25" customHeight="1" x14ac:dyDescent="0.25">
      <c r="B9"/>
      <c r="C9"/>
      <c r="E9" s="336">
        <f>C6-C11</f>
        <v>-1234.8400000000001</v>
      </c>
      <c r="F9" s="336"/>
    </row>
    <row r="10" spans="2:7" ht="59.25" customHeight="1" x14ac:dyDescent="0.25">
      <c r="B10" s="59" t="s">
        <v>1</v>
      </c>
      <c r="C10" s="60"/>
      <c r="E10" s="132"/>
      <c r="F10" s="132"/>
    </row>
    <row r="11" spans="2:7" ht="26.25" customHeight="1" x14ac:dyDescent="0.25">
      <c r="B11" s="61" t="s">
        <v>2</v>
      </c>
      <c r="C11" s="62">
        <f>SUM('Príjmy a výdavky'!K11:K4969)</f>
        <v>8444.84</v>
      </c>
    </row>
    <row r="12" spans="2:7" ht="26.25" customHeight="1" x14ac:dyDescent="0.25">
      <c r="B12" s="63" t="s">
        <v>3</v>
      </c>
      <c r="C12" s="62">
        <f>SUM('Príjmy a výdavky'!L11:L4969)</f>
        <v>14436.839999999998</v>
      </c>
      <c r="E12"/>
      <c r="F12"/>
    </row>
    <row r="13" spans="2:7" ht="26.25" customHeight="1" x14ac:dyDescent="0.25">
      <c r="B13" s="64"/>
      <c r="C13" s="64"/>
      <c r="E13"/>
      <c r="F13"/>
    </row>
    <row r="14" spans="2:7" ht="26.25" customHeight="1" x14ac:dyDescent="0.25">
      <c r="B14"/>
      <c r="C14"/>
      <c r="D14"/>
      <c r="E14"/>
      <c r="F14"/>
    </row>
    <row r="17" spans="2:7" ht="26.25" customHeight="1" x14ac:dyDescent="0.25">
      <c r="B17" s="278" t="s">
        <v>146</v>
      </c>
      <c r="C17" s="277" t="s">
        <v>144</v>
      </c>
      <c r="D17" s="277" t="s">
        <v>145</v>
      </c>
      <c r="E17" s="279" t="s">
        <v>184</v>
      </c>
      <c r="F17" s="279" t="s">
        <v>185</v>
      </c>
      <c r="G17"/>
    </row>
    <row r="18" spans="2:7" ht="26.25" customHeight="1" x14ac:dyDescent="0.25">
      <c r="B18" s="280" t="s">
        <v>222</v>
      </c>
      <c r="C18" s="281"/>
      <c r="D18" s="281"/>
      <c r="E18" s="281"/>
      <c r="F18" s="281"/>
      <c r="G18"/>
    </row>
    <row r="19" spans="2:7" ht="26.25" customHeight="1" x14ac:dyDescent="0.25">
      <c r="B19" s="280" t="s">
        <v>135</v>
      </c>
      <c r="C19" s="281"/>
      <c r="D19" s="281"/>
      <c r="E19" s="281"/>
      <c r="F19" s="281">
        <v>8556.840000000002</v>
      </c>
      <c r="G19"/>
    </row>
    <row r="20" spans="2:7" ht="26.25" customHeight="1" x14ac:dyDescent="0.25">
      <c r="B20" s="280" t="s">
        <v>182</v>
      </c>
      <c r="C20" s="281"/>
      <c r="D20" s="281"/>
      <c r="E20" s="281"/>
      <c r="F20" s="281">
        <v>4150</v>
      </c>
      <c r="G20"/>
    </row>
    <row r="21" spans="2:7" ht="26.25" customHeight="1" x14ac:dyDescent="0.25">
      <c r="B21" s="280" t="s">
        <v>143</v>
      </c>
      <c r="C21" s="281"/>
      <c r="D21" s="281"/>
      <c r="E21" s="281">
        <v>5768</v>
      </c>
      <c r="F21" s="281"/>
      <c r="G21"/>
    </row>
    <row r="22" spans="2:7" ht="26.25" customHeight="1" x14ac:dyDescent="0.25">
      <c r="B22" s="280" t="s">
        <v>168</v>
      </c>
      <c r="C22" s="281"/>
      <c r="D22" s="281"/>
      <c r="E22" s="281">
        <v>1572.58</v>
      </c>
      <c r="F22" s="281"/>
      <c r="G22"/>
    </row>
    <row r="23" spans="2:7" ht="26.25" customHeight="1" x14ac:dyDescent="0.25">
      <c r="B23" s="280" t="s">
        <v>169</v>
      </c>
      <c r="C23" s="281"/>
      <c r="D23" s="281"/>
      <c r="E23" s="281">
        <v>172.3</v>
      </c>
      <c r="F23" s="281"/>
      <c r="G23"/>
    </row>
    <row r="24" spans="2:7" ht="26.25" customHeight="1" x14ac:dyDescent="0.25">
      <c r="B24" s="280" t="s">
        <v>137</v>
      </c>
      <c r="C24" s="281"/>
      <c r="D24" s="281"/>
      <c r="E24" s="281">
        <v>282.64999999999998</v>
      </c>
      <c r="F24" s="281"/>
      <c r="G24"/>
    </row>
    <row r="25" spans="2:7" ht="26.25" customHeight="1" x14ac:dyDescent="0.25">
      <c r="B25" s="280" t="s">
        <v>192</v>
      </c>
      <c r="C25" s="281"/>
      <c r="D25" s="281"/>
      <c r="E25" s="281">
        <v>511.06</v>
      </c>
      <c r="F25" s="281"/>
      <c r="G25"/>
    </row>
    <row r="26" spans="2:7" ht="26.25" customHeight="1" x14ac:dyDescent="0.25">
      <c r="B26" s="280" t="s">
        <v>218</v>
      </c>
      <c r="C26" s="281"/>
      <c r="D26" s="281"/>
      <c r="E26" s="281"/>
      <c r="F26" s="281">
        <v>1730</v>
      </c>
      <c r="G26"/>
    </row>
    <row r="27" spans="2:7" ht="26.25" customHeight="1" x14ac:dyDescent="0.25">
      <c r="B27" s="280" t="s">
        <v>181</v>
      </c>
      <c r="C27" s="281"/>
      <c r="D27" s="281"/>
      <c r="E27" s="281">
        <v>138.25</v>
      </c>
      <c r="F27" s="281"/>
      <c r="G27"/>
    </row>
    <row r="28" spans="2:7" ht="26.25" customHeight="1" x14ac:dyDescent="0.25">
      <c r="B28" s="280" t="s">
        <v>165</v>
      </c>
      <c r="C28" s="281">
        <v>1050</v>
      </c>
      <c r="D28" s="281"/>
      <c r="E28" s="281"/>
      <c r="F28" s="281"/>
      <c r="G28"/>
    </row>
    <row r="29" spans="2:7" ht="26.25" customHeight="1" x14ac:dyDescent="0.25">
      <c r="B29" s="280" t="s">
        <v>194</v>
      </c>
      <c r="C29" s="281">
        <v>360</v>
      </c>
      <c r="D29" s="281"/>
      <c r="E29" s="281"/>
      <c r="F29" s="281"/>
      <c r="G29"/>
    </row>
    <row r="30" spans="2:7" s="124" customFormat="1" ht="26.25" customHeight="1" x14ac:dyDescent="0.25">
      <c r="B30" s="280" t="s">
        <v>183</v>
      </c>
      <c r="C30" s="281"/>
      <c r="D30" s="281">
        <v>0.16000000000000003</v>
      </c>
      <c r="E30" s="281"/>
      <c r="F30" s="281"/>
      <c r="G30"/>
    </row>
    <row r="31" spans="2:7" ht="26.25" customHeight="1" x14ac:dyDescent="0.25">
      <c r="B31" s="280" t="s">
        <v>131</v>
      </c>
      <c r="C31" s="281"/>
      <c r="D31" s="281">
        <v>8556.840000000002</v>
      </c>
      <c r="E31" s="281"/>
      <c r="F31" s="281"/>
      <c r="G31"/>
    </row>
    <row r="32" spans="2:7" ht="26.25" customHeight="1" x14ac:dyDescent="0.25">
      <c r="B32" s="280" t="s">
        <v>132</v>
      </c>
      <c r="C32" s="281">
        <v>5800</v>
      </c>
      <c r="D32" s="281"/>
      <c r="E32" s="281"/>
      <c r="F32" s="281"/>
      <c r="G32"/>
    </row>
    <row r="33" spans="2:6" ht="26.25" customHeight="1" x14ac:dyDescent="0.25">
      <c r="B33" s="282" t="s">
        <v>223</v>
      </c>
      <c r="C33" s="283">
        <v>7210</v>
      </c>
      <c r="D33" s="283">
        <v>8557.0000000000018</v>
      </c>
      <c r="E33" s="283">
        <v>8444.84</v>
      </c>
      <c r="F33" s="283">
        <v>14436.840000000002</v>
      </c>
    </row>
    <row r="34" spans="2:6" ht="26.25" customHeight="1" x14ac:dyDescent="0.25">
      <c r="B34"/>
      <c r="C34"/>
      <c r="D34"/>
      <c r="E34"/>
      <c r="F34"/>
    </row>
    <row r="35" spans="2:6" ht="26.25" customHeight="1" x14ac:dyDescent="0.25">
      <c r="B35"/>
      <c r="C35"/>
      <c r="D35"/>
      <c r="E35"/>
      <c r="F35"/>
    </row>
    <row r="36" spans="2:6" ht="26.25" customHeight="1" x14ac:dyDescent="0.25">
      <c r="B36"/>
      <c r="C36"/>
      <c r="D36"/>
      <c r="E36"/>
      <c r="F36"/>
    </row>
    <row r="37" spans="2:6" ht="26.25" customHeight="1" x14ac:dyDescent="0.25">
      <c r="B37"/>
      <c r="C37"/>
      <c r="D37"/>
      <c r="E37"/>
      <c r="F37"/>
    </row>
    <row r="38" spans="2:6" ht="26.25" customHeight="1" x14ac:dyDescent="0.25">
      <c r="B38"/>
      <c r="C38"/>
      <c r="D38"/>
      <c r="E38"/>
      <c r="F38"/>
    </row>
    <row r="39" spans="2:6" ht="26.25" customHeight="1" x14ac:dyDescent="0.25">
      <c r="B39"/>
      <c r="C39"/>
      <c r="D39"/>
      <c r="E39"/>
      <c r="F39"/>
    </row>
    <row r="40" spans="2:6" ht="26.25" customHeight="1" x14ac:dyDescent="0.25">
      <c r="B40"/>
      <c r="C40"/>
      <c r="D40"/>
      <c r="E40"/>
      <c r="F40"/>
    </row>
    <row r="41" spans="2:6" ht="26.25" customHeight="1" x14ac:dyDescent="0.25">
      <c r="B41"/>
      <c r="C41"/>
      <c r="D41"/>
      <c r="E41"/>
      <c r="F41"/>
    </row>
    <row r="42" spans="2:6" ht="26.25" customHeight="1" x14ac:dyDescent="0.25">
      <c r="B42"/>
      <c r="C42"/>
      <c r="D42"/>
      <c r="E42"/>
      <c r="F42"/>
    </row>
    <row r="43" spans="2:6" ht="26.25" customHeight="1" x14ac:dyDescent="0.25">
      <c r="B43"/>
      <c r="C43"/>
      <c r="D43"/>
      <c r="E43"/>
      <c r="F43"/>
    </row>
    <row r="44" spans="2:6" ht="26.25" customHeight="1" x14ac:dyDescent="0.25">
      <c r="B44"/>
      <c r="C44"/>
      <c r="D44"/>
      <c r="E44"/>
      <c r="F44"/>
    </row>
    <row r="45" spans="2:6" ht="26.25" customHeight="1" x14ac:dyDescent="0.25">
      <c r="B45"/>
      <c r="C45"/>
      <c r="D45"/>
      <c r="E45"/>
      <c r="F45"/>
    </row>
    <row r="46" spans="2:6" ht="26.25" customHeight="1" x14ac:dyDescent="0.25">
      <c r="B46"/>
      <c r="C46"/>
      <c r="D46"/>
      <c r="E46"/>
      <c r="F46"/>
    </row>
    <row r="47" spans="2:6" ht="26.25" customHeight="1" x14ac:dyDescent="0.25">
      <c r="B47"/>
      <c r="C47"/>
      <c r="D47"/>
      <c r="E47"/>
      <c r="F47"/>
    </row>
    <row r="48" spans="2:6" ht="26.25" customHeight="1" x14ac:dyDescent="0.25">
      <c r="B48"/>
      <c r="C48"/>
      <c r="D48"/>
      <c r="E48"/>
      <c r="F48"/>
    </row>
    <row r="49" spans="2:6" ht="26.25" customHeight="1" x14ac:dyDescent="0.25">
      <c r="B49"/>
      <c r="C49"/>
      <c r="D49"/>
      <c r="E49"/>
      <c r="F49"/>
    </row>
    <row r="50" spans="2:6" ht="26.25" customHeight="1" x14ac:dyDescent="0.25">
      <c r="B50"/>
      <c r="C50"/>
      <c r="D50"/>
      <c r="E50"/>
      <c r="F50"/>
    </row>
    <row r="51" spans="2:6" ht="26.25" customHeight="1" x14ac:dyDescent="0.25">
      <c r="B51"/>
      <c r="C51"/>
      <c r="D51"/>
      <c r="E51"/>
      <c r="F51"/>
    </row>
    <row r="52" spans="2:6" ht="26.25" customHeight="1" x14ac:dyDescent="0.25">
      <c r="B52"/>
      <c r="C52"/>
      <c r="D52"/>
      <c r="E52"/>
      <c r="F52"/>
    </row>
    <row r="53" spans="2:6" ht="26.25" customHeight="1" x14ac:dyDescent="0.25">
      <c r="B53"/>
      <c r="C53"/>
      <c r="D53"/>
      <c r="E53"/>
      <c r="F53"/>
    </row>
    <row r="54" spans="2:6" ht="26.25" customHeight="1" x14ac:dyDescent="0.25">
      <c r="B54"/>
      <c r="C54"/>
      <c r="D54"/>
      <c r="E54"/>
      <c r="F54"/>
    </row>
    <row r="55" spans="2:6" ht="26.25" customHeight="1" x14ac:dyDescent="0.25">
      <c r="B55"/>
      <c r="C55"/>
      <c r="D55"/>
      <c r="E55"/>
      <c r="F55"/>
    </row>
    <row r="56" spans="2:6" ht="26.25" customHeight="1" x14ac:dyDescent="0.25">
      <c r="B56"/>
      <c r="C56"/>
      <c r="D56"/>
      <c r="E56"/>
      <c r="F56"/>
    </row>
    <row r="57" spans="2:6" ht="26.25" customHeight="1" x14ac:dyDescent="0.25">
      <c r="B57"/>
      <c r="C57"/>
      <c r="D57"/>
      <c r="E57"/>
      <c r="F57"/>
    </row>
    <row r="58" spans="2:6" ht="26.25" customHeight="1" x14ac:dyDescent="0.25">
      <c r="B58"/>
      <c r="C58"/>
      <c r="D58"/>
      <c r="E58"/>
      <c r="F58"/>
    </row>
    <row r="59" spans="2:6" ht="26.25" customHeight="1" x14ac:dyDescent="0.25">
      <c r="B59"/>
      <c r="C59"/>
      <c r="D59"/>
      <c r="E59"/>
      <c r="F59"/>
    </row>
    <row r="60" spans="2:6" ht="26.25" customHeight="1" x14ac:dyDescent="0.25">
      <c r="B60"/>
      <c r="C60"/>
      <c r="D60"/>
      <c r="E60"/>
      <c r="F60"/>
    </row>
  </sheetData>
  <sheetProtection selectLockedCells="1" selectUnlockedCells="1"/>
  <mergeCells count="5">
    <mergeCell ref="B1:F1"/>
    <mergeCell ref="E6:F8"/>
    <mergeCell ref="E9:F9"/>
    <mergeCell ref="B3:F3"/>
    <mergeCell ref="B4:F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47"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CC66"/>
    <pageSetUpPr fitToPage="1"/>
  </sheetPr>
  <dimension ref="B1:G26"/>
  <sheetViews>
    <sheetView showGridLines="0" topLeftCell="A4" workbookViewId="0">
      <selection activeCell="F32" sqref="F32"/>
    </sheetView>
  </sheetViews>
  <sheetFormatPr defaultColWidth="9.140625" defaultRowHeight="14.25" x14ac:dyDescent="0.25"/>
  <cols>
    <col min="1" max="1" width="5.7109375" style="123" customWidth="1"/>
    <col min="2" max="2" width="51.85546875" style="123" bestFit="1" customWidth="1"/>
    <col min="3" max="3" width="31.42578125" style="123" customWidth="1"/>
    <col min="4" max="4" width="8.85546875" style="123" customWidth="1"/>
    <col min="5" max="5" width="51.85546875" style="123" customWidth="1"/>
    <col min="6" max="6" width="31.42578125" style="123" customWidth="1"/>
    <col min="7" max="7" width="5.7109375" style="123" customWidth="1"/>
    <col min="8" max="16384" width="9.140625" style="123"/>
  </cols>
  <sheetData>
    <row r="1" spans="2:7" ht="45.75" x14ac:dyDescent="0.25">
      <c r="B1" s="334" t="s">
        <v>160</v>
      </c>
      <c r="C1" s="334"/>
      <c r="D1" s="334"/>
      <c r="E1" s="334"/>
      <c r="F1" s="334"/>
    </row>
    <row r="2" spans="2:7" customFormat="1" ht="45.75" customHeight="1" x14ac:dyDescent="0.6">
      <c r="B2" s="134"/>
      <c r="C2" s="134"/>
      <c r="D2" s="134"/>
      <c r="E2" s="134"/>
      <c r="F2" s="134"/>
      <c r="G2" s="133"/>
    </row>
    <row r="3" spans="2:7" customFormat="1" ht="45.75" customHeight="1" x14ac:dyDescent="0.6">
      <c r="B3" s="337"/>
      <c r="C3" s="337"/>
      <c r="D3" s="337"/>
      <c r="E3" s="337"/>
      <c r="F3" s="337"/>
      <c r="G3" s="133"/>
    </row>
    <row r="4" spans="2:7" customFormat="1" ht="67.5" customHeight="1" x14ac:dyDescent="0.25">
      <c r="B4" s="332"/>
      <c r="C4" s="332"/>
      <c r="D4" s="332"/>
      <c r="E4" s="332"/>
      <c r="F4" s="332"/>
    </row>
    <row r="5" spans="2:7" s="122" customFormat="1" ht="59.25" customHeight="1" x14ac:dyDescent="0.25">
      <c r="B5" s="53" t="s">
        <v>154</v>
      </c>
      <c r="C5" s="147">
        <f>SUM('Príjmy a výdavky'!H11:H4969)</f>
        <v>7210</v>
      </c>
      <c r="E5" s="59" t="s">
        <v>158</v>
      </c>
      <c r="F5" s="148">
        <f>SUM('Príjmy a výdavky'!K11:K4969)</f>
        <v>8444.84</v>
      </c>
    </row>
    <row r="6" spans="2:7" ht="26.25" customHeight="1" x14ac:dyDescent="0.25">
      <c r="B6" s="151" t="s">
        <v>155</v>
      </c>
      <c r="C6" s="152">
        <v>500</v>
      </c>
      <c r="E6" s="61"/>
      <c r="F6" s="62"/>
    </row>
    <row r="7" spans="2:7" ht="26.25" customHeight="1" x14ac:dyDescent="0.25">
      <c r="B7" s="149" t="s">
        <v>157</v>
      </c>
      <c r="C7" s="156">
        <f>IF(C5-C6&lt;0,0,C5-C6)</f>
        <v>6710</v>
      </c>
      <c r="E7" s="150" t="s">
        <v>156</v>
      </c>
      <c r="F7" s="157">
        <f>IF(C7/C5*F5&gt;C7,C7,C7/C5*F5)</f>
        <v>6710</v>
      </c>
    </row>
    <row r="8" spans="2:7" s="155" customFormat="1" ht="50.25" customHeight="1" x14ac:dyDescent="0.25">
      <c r="B8" s="340" t="s">
        <v>161</v>
      </c>
      <c r="C8" s="340"/>
      <c r="E8" s="340" t="s">
        <v>162</v>
      </c>
      <c r="F8" s="340"/>
    </row>
    <row r="9" spans="2:7" ht="59.25" customHeight="1" x14ac:dyDescent="0.25"/>
    <row r="10" spans="2:7" ht="26.25" customHeight="1" x14ac:dyDescent="0.25"/>
    <row r="11" spans="2:7" ht="26.25" customHeight="1" x14ac:dyDescent="0.25">
      <c r="E11"/>
      <c r="F11"/>
    </row>
    <row r="12" spans="2:7" ht="26.25" customHeight="1" x14ac:dyDescent="0.25">
      <c r="E12"/>
      <c r="F12"/>
    </row>
    <row r="13" spans="2:7" ht="26.25" customHeight="1" x14ac:dyDescent="0.25">
      <c r="B13"/>
      <c r="C13"/>
      <c r="D13"/>
      <c r="E13"/>
      <c r="F13"/>
    </row>
    <row r="14" spans="2:7" ht="26.25" customHeight="1" x14ac:dyDescent="0.25"/>
    <row r="21" spans="2:6" ht="81" customHeight="1" x14ac:dyDescent="0.25"/>
    <row r="22" spans="2:6" ht="14.25" customHeight="1" x14ac:dyDescent="0.25">
      <c r="B22" s="335" t="s">
        <v>159</v>
      </c>
      <c r="C22" s="335"/>
      <c r="D22" s="338">
        <f>C7-F7</f>
        <v>0</v>
      </c>
      <c r="E22" s="338"/>
      <c r="F22" s="339"/>
    </row>
    <row r="23" spans="2:6" ht="14.25" customHeight="1" x14ac:dyDescent="0.25">
      <c r="B23" s="335"/>
      <c r="C23" s="335"/>
      <c r="D23" s="338"/>
      <c r="E23" s="338"/>
      <c r="F23" s="339"/>
    </row>
    <row r="24" spans="2:6" ht="14.25" customHeight="1" x14ac:dyDescent="0.25">
      <c r="B24" s="335"/>
      <c r="C24" s="335"/>
      <c r="D24" s="338"/>
      <c r="E24" s="338"/>
      <c r="F24" s="339"/>
    </row>
    <row r="25" spans="2:6" ht="18" customHeight="1" x14ac:dyDescent="0.25">
      <c r="B25" s="335"/>
      <c r="C25" s="335"/>
      <c r="D25" s="338"/>
      <c r="E25" s="338"/>
      <c r="F25" s="339"/>
    </row>
    <row r="26" spans="2:6" ht="36.75" x14ac:dyDescent="0.25">
      <c r="B26" s="154"/>
      <c r="C26" s="153"/>
      <c r="D26" s="153"/>
    </row>
  </sheetData>
  <sheetProtection selectLockedCells="1" selectUnlockedCells="1"/>
  <mergeCells count="8">
    <mergeCell ref="B22:C25"/>
    <mergeCell ref="D22:E25"/>
    <mergeCell ref="F22:F25"/>
    <mergeCell ref="B1:F1"/>
    <mergeCell ref="B3:F3"/>
    <mergeCell ref="B4:F4"/>
    <mergeCell ref="B8:C8"/>
    <mergeCell ref="E8:F8"/>
  </mergeCells>
  <pageMargins left="0.70866141732283472" right="0.70866141732283472" top="0.74803149606299213" bottom="0.74803149606299213" header="0.31496062992125984" footer="0.31496062992125984"/>
  <pageSetup paperSize="9" scale="48" orientation="portrait"/>
  <drawing r:id="rId1"/>
  <legacyDrawing r:id="rId2"/>
  <oleObjects>
    <mc:AlternateContent xmlns:mc="http://schemas.openxmlformats.org/markup-compatibility/2006">
      <mc:Choice Requires="x14">
        <oleObject shapeId="6146" r:id="rId3">
          <objectPr defaultSize="0" r:id="rId4">
            <anchor moveWithCells="1">
              <from>
                <xdr:col>1</xdr:col>
                <xdr:colOff>1457325</xdr:colOff>
                <xdr:row>9</xdr:row>
                <xdr:rowOff>152400</xdr:rowOff>
              </from>
              <to>
                <xdr:col>5</xdr:col>
                <xdr:colOff>190500</xdr:colOff>
                <xdr:row>20</xdr:row>
                <xdr:rowOff>190500</xdr:rowOff>
              </to>
            </anchor>
          </objectPr>
        </oleObject>
      </mc:Choice>
      <mc:Fallback>
        <oleObject shapeId="6146" r:id="rId3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B7B1B-8D83-49FE-B52D-541F8DD81948}">
  <dimension ref="A1:R31"/>
  <sheetViews>
    <sheetView workbookViewId="0">
      <selection activeCell="L13" sqref="L13"/>
    </sheetView>
  </sheetViews>
  <sheetFormatPr defaultRowHeight="15" x14ac:dyDescent="0.25"/>
  <cols>
    <col min="1" max="1" width="10.85546875" bestFit="1" customWidth="1"/>
    <col min="3" max="3" width="10" customWidth="1"/>
    <col min="4" max="4" width="7.5703125" customWidth="1"/>
    <col min="7" max="7" width="20.140625" bestFit="1" customWidth="1"/>
    <col min="14" max="14" width="9.28515625" bestFit="1" customWidth="1"/>
    <col min="15" max="15" width="11.5703125" customWidth="1"/>
    <col min="16" max="16" width="10.140625" customWidth="1"/>
    <col min="17" max="17" width="13.140625" customWidth="1"/>
    <col min="18" max="18" width="15.7109375" customWidth="1"/>
  </cols>
  <sheetData>
    <row r="1" spans="1:18" x14ac:dyDescent="0.25">
      <c r="B1" s="179" t="s">
        <v>170</v>
      </c>
      <c r="C1" s="180" t="s">
        <v>171</v>
      </c>
      <c r="D1" s="180" t="s">
        <v>172</v>
      </c>
      <c r="E1" s="180" t="s">
        <v>173</v>
      </c>
      <c r="F1" s="180" t="s">
        <v>174</v>
      </c>
      <c r="G1" s="181" t="s">
        <v>176</v>
      </c>
    </row>
    <row r="2" spans="1:18" ht="60" x14ac:dyDescent="0.25">
      <c r="A2" s="227">
        <v>45383</v>
      </c>
      <c r="B2" s="178">
        <v>21</v>
      </c>
      <c r="C2" s="177"/>
      <c r="D2" s="177"/>
      <c r="E2" s="177"/>
      <c r="F2" s="177"/>
      <c r="K2" s="240" t="s">
        <v>197</v>
      </c>
      <c r="L2" s="241" t="s">
        <v>198</v>
      </c>
      <c r="M2" s="241" t="s">
        <v>199</v>
      </c>
      <c r="N2" s="241" t="s">
        <v>200</v>
      </c>
      <c r="O2" s="242" t="s">
        <v>201</v>
      </c>
      <c r="P2" s="243" t="s">
        <v>202</v>
      </c>
      <c r="Q2" s="242" t="s">
        <v>203</v>
      </c>
      <c r="R2" s="242" t="s">
        <v>204</v>
      </c>
    </row>
    <row r="3" spans="1:18" x14ac:dyDescent="0.25">
      <c r="A3" s="227">
        <v>45413</v>
      </c>
      <c r="B3" s="178">
        <v>70</v>
      </c>
      <c r="C3" s="177">
        <v>10</v>
      </c>
      <c r="D3" s="177">
        <v>15</v>
      </c>
      <c r="E3" s="177">
        <v>35</v>
      </c>
      <c r="F3" s="177">
        <v>10</v>
      </c>
      <c r="K3" s="244"/>
      <c r="L3" s="244" t="s">
        <v>205</v>
      </c>
      <c r="M3" s="244" t="s">
        <v>206</v>
      </c>
      <c r="N3" s="244"/>
      <c r="O3" s="244"/>
      <c r="P3" s="245"/>
      <c r="Q3" s="245"/>
      <c r="R3" s="244"/>
    </row>
    <row r="4" spans="1:18" x14ac:dyDescent="0.25">
      <c r="A4" s="227">
        <v>45444</v>
      </c>
      <c r="B4" s="178">
        <v>70</v>
      </c>
      <c r="C4" s="177">
        <v>10</v>
      </c>
      <c r="D4" s="177">
        <v>15</v>
      </c>
      <c r="E4" s="177">
        <v>35</v>
      </c>
      <c r="F4" s="177">
        <v>10</v>
      </c>
      <c r="K4" s="246" t="s">
        <v>207</v>
      </c>
      <c r="L4" s="247">
        <v>23</v>
      </c>
      <c r="M4" s="247">
        <v>96</v>
      </c>
      <c r="N4" s="248">
        <f>M4-L4</f>
        <v>73</v>
      </c>
      <c r="O4" s="248">
        <v>15</v>
      </c>
      <c r="P4" s="248">
        <v>205.4418</v>
      </c>
      <c r="Q4" s="248">
        <f>O4*8-P4</f>
        <v>-85.441800000000001</v>
      </c>
      <c r="R4" s="248">
        <v>25</v>
      </c>
    </row>
    <row r="5" spans="1:18" x14ac:dyDescent="0.25">
      <c r="A5" s="227">
        <v>45474</v>
      </c>
      <c r="B5" s="178">
        <v>70</v>
      </c>
      <c r="C5" s="177">
        <v>10</v>
      </c>
      <c r="D5" s="177">
        <v>15</v>
      </c>
      <c r="E5" s="177">
        <v>35</v>
      </c>
      <c r="F5" s="177">
        <v>10</v>
      </c>
      <c r="K5" s="244" t="s">
        <v>173</v>
      </c>
      <c r="L5" s="249">
        <v>34842</v>
      </c>
      <c r="M5" s="249">
        <v>37423</v>
      </c>
      <c r="N5" s="250">
        <f>M5-L5</f>
        <v>2581</v>
      </c>
      <c r="O5" s="250">
        <v>35</v>
      </c>
      <c r="P5" s="250">
        <v>538.41999999999996</v>
      </c>
      <c r="Q5" s="250">
        <f>O5*8-P5</f>
        <v>-258.41999999999996</v>
      </c>
      <c r="R5" s="250">
        <v>60</v>
      </c>
    </row>
    <row r="6" spans="1:18" x14ac:dyDescent="0.25">
      <c r="A6" s="227">
        <v>45505</v>
      </c>
      <c r="B6" s="178">
        <v>70</v>
      </c>
      <c r="C6" s="177">
        <v>10</v>
      </c>
      <c r="D6" s="177">
        <v>15</v>
      </c>
      <c r="E6" s="177">
        <v>35</v>
      </c>
      <c r="F6" s="177">
        <v>10</v>
      </c>
      <c r="K6" s="246" t="s">
        <v>208</v>
      </c>
      <c r="L6" s="247" t="s">
        <v>209</v>
      </c>
      <c r="M6" s="247" t="s">
        <v>209</v>
      </c>
      <c r="N6" s="251" t="s">
        <v>210</v>
      </c>
      <c r="O6" s="248">
        <v>10</v>
      </c>
      <c r="P6" s="248">
        <f>14.51*7</f>
        <v>101.57</v>
      </c>
      <c r="Q6" s="248">
        <f>O6*8-P6</f>
        <v>-21.569999999999993</v>
      </c>
      <c r="R6" s="248">
        <v>10</v>
      </c>
    </row>
    <row r="7" spans="1:18" x14ac:dyDescent="0.25">
      <c r="A7" s="227">
        <v>45536</v>
      </c>
      <c r="B7" s="178">
        <v>70</v>
      </c>
      <c r="C7" s="177">
        <v>10</v>
      </c>
      <c r="D7" s="177">
        <v>15</v>
      </c>
      <c r="E7" s="177">
        <v>35</v>
      </c>
      <c r="F7" s="177">
        <v>10</v>
      </c>
      <c r="K7" s="244" t="s">
        <v>211</v>
      </c>
      <c r="L7" s="249">
        <v>888</v>
      </c>
      <c r="M7" s="249">
        <f>L7+101*8</f>
        <v>1696</v>
      </c>
      <c r="N7" s="250">
        <f>M7-L7</f>
        <v>808</v>
      </c>
      <c r="O7" s="250">
        <v>10</v>
      </c>
      <c r="P7" s="250">
        <f>(M7-L7)*0.0833*1.2+(1.5*1.2*8)</f>
        <v>95.16767999999999</v>
      </c>
      <c r="Q7" s="250">
        <f>O7*8-P7</f>
        <v>-15.16767999999999</v>
      </c>
      <c r="R7" s="250">
        <v>15</v>
      </c>
    </row>
    <row r="8" spans="1:18" x14ac:dyDescent="0.25">
      <c r="A8" s="227">
        <v>45566</v>
      </c>
      <c r="B8" s="178">
        <v>70</v>
      </c>
      <c r="C8" s="177">
        <v>10</v>
      </c>
      <c r="D8" s="177">
        <v>15</v>
      </c>
      <c r="E8" s="177">
        <v>35</v>
      </c>
      <c r="F8" s="177">
        <v>10</v>
      </c>
      <c r="K8" s="252" t="s">
        <v>212</v>
      </c>
      <c r="L8" s="248"/>
      <c r="M8" s="248"/>
      <c r="N8" s="248"/>
      <c r="O8" s="253">
        <f>SUM(O4:O7)</f>
        <v>70</v>
      </c>
      <c r="P8" s="254">
        <f>P9/8</f>
        <v>117.57493499999998</v>
      </c>
      <c r="Q8" s="248"/>
      <c r="R8" s="254">
        <f>SUBTOTAL(109,R3:R7)</f>
        <v>110</v>
      </c>
    </row>
    <row r="9" spans="1:18" x14ac:dyDescent="0.25">
      <c r="A9" s="227">
        <v>45597</v>
      </c>
      <c r="B9" s="178">
        <v>70</v>
      </c>
      <c r="C9" s="177">
        <v>10</v>
      </c>
      <c r="D9" s="177">
        <v>15</v>
      </c>
      <c r="E9" s="177">
        <v>35</v>
      </c>
      <c r="F9" s="177">
        <v>10</v>
      </c>
      <c r="K9" s="255" t="s">
        <v>213</v>
      </c>
      <c r="L9" s="250"/>
      <c r="M9" s="250"/>
      <c r="N9" s="250"/>
      <c r="O9" s="250">
        <f>SUM(O4:O7)*8+21</f>
        <v>581</v>
      </c>
      <c r="P9" s="250">
        <f>SUM(P4:P7)</f>
        <v>940.59947999999986</v>
      </c>
      <c r="Q9" s="250"/>
      <c r="R9" s="250"/>
    </row>
    <row r="10" spans="1:18" x14ac:dyDescent="0.25">
      <c r="A10" s="273">
        <v>45627</v>
      </c>
      <c r="B10" s="274">
        <v>70</v>
      </c>
      <c r="C10" s="275">
        <v>10</v>
      </c>
      <c r="D10" s="275">
        <v>15</v>
      </c>
      <c r="E10" s="275">
        <v>35</v>
      </c>
      <c r="F10" s="275">
        <v>10</v>
      </c>
      <c r="K10" s="256" t="s">
        <v>214</v>
      </c>
      <c r="L10" s="257"/>
      <c r="M10" s="257"/>
      <c r="N10" s="257"/>
      <c r="O10" s="257"/>
      <c r="P10" s="257"/>
      <c r="Q10" s="258">
        <f>P9-O9</f>
        <v>359.59947999999986</v>
      </c>
      <c r="R10" s="257"/>
    </row>
    <row r="11" spans="1:18" x14ac:dyDescent="0.25">
      <c r="A11" s="227">
        <v>45658</v>
      </c>
      <c r="B11" s="178">
        <v>70</v>
      </c>
      <c r="C11" s="177">
        <v>10</v>
      </c>
      <c r="D11" s="177">
        <v>15</v>
      </c>
      <c r="E11" s="177">
        <v>35</v>
      </c>
      <c r="F11" s="177">
        <v>10</v>
      </c>
      <c r="K11" s="259"/>
      <c r="L11" s="260"/>
      <c r="M11" s="259"/>
      <c r="N11" s="259"/>
      <c r="O11" s="259"/>
      <c r="P11" s="259"/>
      <c r="Q11" s="259"/>
      <c r="R11" s="259"/>
    </row>
    <row r="12" spans="1:18" x14ac:dyDescent="0.25">
      <c r="A12" s="227">
        <v>45689</v>
      </c>
      <c r="B12" s="178">
        <v>70</v>
      </c>
      <c r="C12" s="177">
        <v>10</v>
      </c>
      <c r="D12" s="177">
        <v>15</v>
      </c>
      <c r="E12" s="177">
        <v>35</v>
      </c>
      <c r="F12" s="177">
        <v>10</v>
      </c>
      <c r="K12" s="259" t="s">
        <v>215</v>
      </c>
      <c r="L12" s="260">
        <v>580</v>
      </c>
      <c r="M12" s="259"/>
      <c r="N12" s="276"/>
      <c r="O12" s="259"/>
      <c r="P12" s="259"/>
      <c r="Q12" s="259"/>
      <c r="R12" s="259"/>
    </row>
    <row r="13" spans="1:18" x14ac:dyDescent="0.25">
      <c r="A13" s="227">
        <v>45717</v>
      </c>
      <c r="B13" s="178">
        <v>70</v>
      </c>
      <c r="C13" s="177">
        <v>10</v>
      </c>
      <c r="D13" s="177">
        <v>15</v>
      </c>
      <c r="E13" s="177">
        <v>35</v>
      </c>
      <c r="F13" s="177">
        <v>15</v>
      </c>
      <c r="K13" s="261" t="s">
        <v>216</v>
      </c>
      <c r="L13" s="262">
        <v>120</v>
      </c>
      <c r="M13" s="259"/>
      <c r="N13" s="259"/>
      <c r="O13" s="259"/>
      <c r="P13" s="259"/>
      <c r="Q13" s="259"/>
      <c r="R13" s="259"/>
    </row>
    <row r="14" spans="1:18" x14ac:dyDescent="0.25">
      <c r="A14" s="227">
        <v>45748</v>
      </c>
      <c r="B14" s="178">
        <v>120</v>
      </c>
      <c r="C14" s="177">
        <v>10</v>
      </c>
      <c r="D14" s="177">
        <v>25</v>
      </c>
      <c r="E14" s="177">
        <v>60</v>
      </c>
      <c r="F14" s="177">
        <v>25</v>
      </c>
      <c r="K14" s="261" t="s">
        <v>217</v>
      </c>
      <c r="L14" s="262">
        <v>700</v>
      </c>
      <c r="M14" s="259"/>
      <c r="N14" s="259"/>
      <c r="O14" s="259"/>
      <c r="P14" s="259"/>
      <c r="Q14" s="259"/>
      <c r="R14" s="259"/>
    </row>
    <row r="15" spans="1:18" x14ac:dyDescent="0.25">
      <c r="A15" s="227">
        <v>45778</v>
      </c>
      <c r="B15" s="178">
        <v>120</v>
      </c>
      <c r="C15" s="177">
        <v>10</v>
      </c>
      <c r="D15" s="177">
        <v>25</v>
      </c>
      <c r="E15" s="177">
        <v>60</v>
      </c>
      <c r="F15" s="177">
        <v>25</v>
      </c>
      <c r="K15" s="259"/>
      <c r="L15" s="259"/>
      <c r="M15" s="259"/>
      <c r="N15" s="259"/>
      <c r="O15" s="259"/>
      <c r="P15" s="259"/>
      <c r="Q15" s="259"/>
      <c r="R15" s="259"/>
    </row>
    <row r="16" spans="1:18" x14ac:dyDescent="0.25">
      <c r="A16" s="227">
        <v>45809</v>
      </c>
      <c r="B16" s="178">
        <v>120</v>
      </c>
      <c r="C16" s="177">
        <v>10</v>
      </c>
      <c r="D16" s="177">
        <v>25</v>
      </c>
      <c r="E16" s="177">
        <v>60</v>
      </c>
      <c r="F16" s="177">
        <v>25</v>
      </c>
    </row>
    <row r="17" spans="1:6" x14ac:dyDescent="0.25">
      <c r="A17" s="227">
        <v>45839</v>
      </c>
      <c r="B17" s="178"/>
      <c r="C17" s="177"/>
      <c r="D17" s="177"/>
      <c r="E17" s="177"/>
      <c r="F17" s="177"/>
    </row>
    <row r="18" spans="1:6" x14ac:dyDescent="0.25">
      <c r="A18" s="227">
        <v>45870</v>
      </c>
      <c r="B18" s="178"/>
      <c r="C18" s="177"/>
      <c r="D18" s="177"/>
      <c r="E18" s="177"/>
      <c r="F18" s="177"/>
    </row>
    <row r="19" spans="1:6" x14ac:dyDescent="0.25">
      <c r="A19" s="227">
        <v>45901</v>
      </c>
      <c r="B19" s="178"/>
      <c r="C19" s="177"/>
      <c r="D19" s="177"/>
      <c r="E19" s="177"/>
      <c r="F19" s="177"/>
    </row>
    <row r="20" spans="1:6" x14ac:dyDescent="0.25">
      <c r="A20" s="227">
        <v>45931</v>
      </c>
      <c r="B20" s="178"/>
      <c r="C20" s="177"/>
      <c r="D20" s="177"/>
      <c r="E20" s="177"/>
      <c r="F20" s="177"/>
    </row>
    <row r="21" spans="1:6" x14ac:dyDescent="0.25">
      <c r="A21" s="227">
        <v>45962</v>
      </c>
      <c r="B21" s="178"/>
      <c r="C21" s="177"/>
      <c r="D21" s="177"/>
      <c r="E21" s="177"/>
      <c r="F21" s="177"/>
    </row>
    <row r="22" spans="1:6" x14ac:dyDescent="0.25">
      <c r="A22" s="227">
        <v>45992</v>
      </c>
      <c r="B22" s="178"/>
      <c r="C22" s="177"/>
      <c r="D22" s="177"/>
      <c r="E22" s="177"/>
      <c r="F22" s="177"/>
    </row>
    <row r="29" spans="1:6" x14ac:dyDescent="0.25">
      <c r="A29" s="1" t="s">
        <v>179</v>
      </c>
    </row>
    <row r="30" spans="1:6" x14ac:dyDescent="0.25">
      <c r="A30" t="s">
        <v>177</v>
      </c>
    </row>
    <row r="31" spans="1:6" x14ac:dyDescent="0.25">
      <c r="A31" t="s">
        <v>178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"/>
  <sheetViews>
    <sheetView topLeftCell="H1" workbookViewId="0">
      <selection activeCell="G1" sqref="A1:G1048576"/>
    </sheetView>
  </sheetViews>
  <sheetFormatPr defaultRowHeight="15" x14ac:dyDescent="0.25"/>
  <cols>
    <col min="1" max="1" width="10.140625" hidden="1" customWidth="1"/>
    <col min="2" max="2" width="16.7109375" hidden="1" customWidth="1"/>
    <col min="3" max="3" width="20" hidden="1" customWidth="1"/>
    <col min="4" max="4" width="24.28515625" hidden="1" customWidth="1"/>
    <col min="5" max="5" width="16.140625" hidden="1" customWidth="1"/>
    <col min="6" max="6" width="29.7109375" hidden="1" customWidth="1"/>
    <col min="7" max="7" width="36.5703125" hidden="1" customWidth="1"/>
  </cols>
  <sheetData>
    <row r="1" spans="1:7" x14ac:dyDescent="0.25">
      <c r="A1" s="1" t="s">
        <v>55</v>
      </c>
    </row>
    <row r="2" spans="1:7" x14ac:dyDescent="0.25">
      <c r="B2" t="str">
        <f>List!G6&amp;", "</f>
        <v xml:space="preserve">, </v>
      </c>
    </row>
    <row r="3" spans="1:7" x14ac:dyDescent="0.25">
      <c r="A3" s="1" t="s">
        <v>47</v>
      </c>
      <c r="B3" s="1" t="s">
        <v>78</v>
      </c>
      <c r="C3" s="1" t="s">
        <v>50</v>
      </c>
      <c r="D3" s="1" t="s">
        <v>77</v>
      </c>
      <c r="E3" s="1" t="s">
        <v>72</v>
      </c>
      <c r="F3" s="1" t="s">
        <v>105</v>
      </c>
      <c r="G3" s="1" t="s">
        <v>114</v>
      </c>
    </row>
    <row r="4" spans="1:7" x14ac:dyDescent="0.25">
      <c r="A4" s="2"/>
      <c r="B4" t="s">
        <v>53</v>
      </c>
      <c r="C4" t="s">
        <v>56</v>
      </c>
      <c r="D4" t="s">
        <v>79</v>
      </c>
      <c r="E4" s="2">
        <v>36526</v>
      </c>
      <c r="F4" t="s">
        <v>107</v>
      </c>
      <c r="G4" s="87" t="str">
        <f>""</f>
        <v/>
      </c>
    </row>
    <row r="5" spans="1:7" x14ac:dyDescent="0.25">
      <c r="A5" s="2"/>
      <c r="B5" t="s">
        <v>57</v>
      </c>
      <c r="C5" t="s">
        <v>58</v>
      </c>
      <c r="D5" t="s">
        <v>80</v>
      </c>
      <c r="E5" s="2">
        <v>73415</v>
      </c>
      <c r="F5" t="s">
        <v>108</v>
      </c>
      <c r="G5" s="87" t="str">
        <f>""</f>
        <v/>
      </c>
    </row>
    <row r="6" spans="1:7" x14ac:dyDescent="0.25">
      <c r="B6" t="s">
        <v>119</v>
      </c>
      <c r="C6" t="s">
        <v>59</v>
      </c>
      <c r="D6" t="s">
        <v>81</v>
      </c>
      <c r="F6" t="s">
        <v>109</v>
      </c>
      <c r="G6" s="87" t="str">
        <f>""</f>
        <v/>
      </c>
    </row>
    <row r="7" spans="1:7" x14ac:dyDescent="0.25">
      <c r="C7" t="s">
        <v>54</v>
      </c>
      <c r="D7" t="s">
        <v>82</v>
      </c>
      <c r="F7" t="s">
        <v>34</v>
      </c>
      <c r="G7" s="87" t="str">
        <f>""</f>
        <v/>
      </c>
    </row>
    <row r="8" spans="1:7" x14ac:dyDescent="0.25">
      <c r="D8" t="s">
        <v>83</v>
      </c>
    </row>
    <row r="9" spans="1:7" x14ac:dyDescent="0.25">
      <c r="D9" t="s">
        <v>84</v>
      </c>
    </row>
  </sheetData>
  <sheetProtection algorithmName="SHA-512" hashValue="POnjODqCcilnN7gJ2e1t+GX/6J8W9IotFE7YTbNL9zVgdd4AO1f5b6TEZl9vEhwmRx6dbLFQaG44aCtqYdcP3g==" saltValue="FV49iswD2aGxxe1KG+PwLw==" spinCount="100000" sheet="1" objects="1" scenarios="1" selectLockedCells="1" selectUnlockedCells="1"/>
  <pageMargins left="0.7" right="0.7" top="0.75" bottom="0.75" header="0.3" footer="0.3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9" id="{27BCD90C-1849-474A-B19F-71A365F7F28F}">
            <xm:f>'Pohľadávky a záväzky'!$J$2&lt;&gt;$G$6</xm:f>
            <x14:dxf/>
          </x14:cfRule>
          <xm:sqref>I2:J2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6a0c4d74-2ddf-4a3f-9c85-3b2ab35ffe4a}" enabled="1" method="Standard" siteId="{95735dfb-83cb-4be7-9b78-61e3b2310d4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Príjmy a výdavky</vt:lpstr>
      <vt:lpstr>Pohľadávky a záväzky</vt:lpstr>
      <vt:lpstr>Zásoby a majetok</vt:lpstr>
      <vt:lpstr>Zoznamy</vt:lpstr>
      <vt:lpstr>Prehľad MaZ</vt:lpstr>
      <vt:lpstr>Prehľad PaV</vt:lpstr>
      <vt:lpstr>Výpočet ZDzP</vt:lpstr>
      <vt:lpstr>Rozúčtovanie pre Nájomníka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Juricek</dc:creator>
  <cp:lastModifiedBy>Bednárik, Peter (ZSD)</cp:lastModifiedBy>
  <cp:lastPrinted>2020-04-29T15:36:19Z</cp:lastPrinted>
  <dcterms:created xsi:type="dcterms:W3CDTF">2020-03-09T21:26:56Z</dcterms:created>
  <dcterms:modified xsi:type="dcterms:W3CDTF">2025-11-03T15:54:56Z</dcterms:modified>
</cp:coreProperties>
</file>